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puestas_trabajo_independiente\1.0_Gestión finanzas personales\"/>
    </mc:Choice>
  </mc:AlternateContent>
  <xr:revisionPtr revIDLastSave="0" documentId="13_ncr:1_{1DD6BF4D-6249-439A-B668-361EB7D4BED6}" xr6:coauthVersionLast="47" xr6:coauthVersionMax="47" xr10:uidLastSave="{00000000-0000-0000-0000-000000000000}"/>
  <bookViews>
    <workbookView xWindow="-120" yWindow="-120" windowWidth="29040" windowHeight="15720" firstSheet="2" activeTab="8" xr2:uid="{00000000-000D-0000-FFFF-FFFF00000000}"/>
  </bookViews>
  <sheets>
    <sheet name="Resumen" sheetId="1" r:id="rId1"/>
    <sheet name="Gasto" sheetId="2" r:id="rId2"/>
    <sheet name="Movimientos" sheetId="3" r:id="rId3"/>
    <sheet name="Listas" sheetId="4" r:id="rId4"/>
    <sheet name="Configuracion" sheetId="5" r:id="rId5"/>
    <sheet name="ResultadosConsulta" sheetId="6" r:id="rId6"/>
    <sheet name="Dashboard" sheetId="9" r:id="rId7"/>
    <sheet name="Presupuesto" sheetId="8" r:id="rId8"/>
    <sheet name="Panel" sheetId="7" r:id="rId9"/>
    <sheet name="Inversiones" sheetId="10" r:id="rId10"/>
    <sheet name="Patrimonio" sheetId="11" r:id="rId11"/>
    <sheet name="Cierres" sheetId="12" r:id="rId12"/>
    <sheet name="Auditoria" sheetId="13" r:id="rId13"/>
  </sheets>
  <functionGroups builtInGroupCount="19"/>
  <definedNames>
    <definedName name="RegionTituloFila1..O4">Resumen!$B$2</definedName>
    <definedName name="Titulo1">#REF!</definedName>
    <definedName name="Titulo2">Gastos[[#Headers],[Categoría]]</definedName>
    <definedName name="_xlnm.Print_Titles" localSheetId="1">Gasto!$2:$3</definedName>
    <definedName name="_xlnm.Print_Titles" localSheetId="0">Resumen!$2:$2</definedName>
  </definedNames>
  <calcPr calcId="191029"/>
  <webPublishing codePage="1252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2" l="1"/>
  <c r="P24" i="2"/>
  <c r="P25" i="2"/>
  <c r="P21" i="2"/>
  <c r="P22" i="2"/>
  <c r="P23" i="2"/>
  <c r="P20" i="2"/>
  <c r="P6" i="2"/>
  <c r="I28" i="2"/>
  <c r="P17" i="2"/>
  <c r="P5" i="2" l="1"/>
  <c r="P18" i="2"/>
  <c r="P4" i="2"/>
  <c r="H28" i="2"/>
  <c r="P19" i="2"/>
  <c r="P8" i="2"/>
  <c r="D28" i="2" l="1"/>
  <c r="E28" i="2" l="1"/>
  <c r="F28" i="2"/>
  <c r="G28" i="2"/>
  <c r="J28" i="2"/>
  <c r="K28" i="2"/>
  <c r="L28" i="2"/>
  <c r="M28" i="2"/>
  <c r="N28" i="2"/>
  <c r="O28" i="2"/>
  <c r="P10" i="2" l="1"/>
  <c r="P12" i="2"/>
  <c r="P13" i="2"/>
  <c r="P14" i="2"/>
  <c r="P15" i="2"/>
  <c r="P7" i="2"/>
  <c r="P28" i="2" l="1"/>
</calcChain>
</file>

<file path=xl/sharedStrings.xml><?xml version="1.0" encoding="utf-8"?>
<sst xmlns="http://schemas.openxmlformats.org/spreadsheetml/2006/main" count="260" uniqueCount="213">
  <si>
    <t>Ingresos</t>
  </si>
  <si>
    <t>Categoría</t>
  </si>
  <si>
    <t>Total</t>
  </si>
  <si>
    <t>Ene</t>
  </si>
  <si>
    <t>Feb</t>
  </si>
  <si>
    <t>Marzo</t>
  </si>
  <si>
    <t>Abril</t>
  </si>
  <si>
    <t>Mayo</t>
  </si>
  <si>
    <t>Junio</t>
  </si>
  <si>
    <t>Julio</t>
  </si>
  <si>
    <t>Ago</t>
  </si>
  <si>
    <t>Sept</t>
  </si>
  <si>
    <t>Oct</t>
  </si>
  <si>
    <t>Nov</t>
  </si>
  <si>
    <t>Dic</t>
  </si>
  <si>
    <t>Año</t>
  </si>
  <si>
    <t>Gastos</t>
  </si>
  <si>
    <t>Salud</t>
  </si>
  <si>
    <t>Cuotas/suscripciones</t>
  </si>
  <si>
    <t>Subcategoría</t>
  </si>
  <si>
    <t>Obligaciones financieras</t>
  </si>
  <si>
    <t>Credito Bco Estado</t>
  </si>
  <si>
    <t>Falabella</t>
  </si>
  <si>
    <t>Pagos varios</t>
  </si>
  <si>
    <t>Personal</t>
  </si>
  <si>
    <t>Horas de atraso</t>
  </si>
  <si>
    <t>AFP</t>
  </si>
  <si>
    <t>ISAPRE</t>
  </si>
  <si>
    <t>Impuestos SII</t>
  </si>
  <si>
    <t>Presupuesto personal Sergio</t>
  </si>
  <si>
    <t>Tenpo</t>
  </si>
  <si>
    <t>Linea credito Bco estado</t>
  </si>
  <si>
    <t>Linea credito scotiabank</t>
  </si>
  <si>
    <t>Credito CAEP</t>
  </si>
  <si>
    <t>Scotiabank tarjeta credito</t>
  </si>
  <si>
    <t>credito scotiabank</t>
  </si>
  <si>
    <t>Gremios+Bienestar+FALP</t>
  </si>
  <si>
    <t>Ahorro/inversión</t>
  </si>
  <si>
    <t>EBC</t>
  </si>
  <si>
    <t>Scotiabank credito consumo</t>
  </si>
  <si>
    <t>IDMovimiento</t>
  </si>
  <si>
    <t>Fecha</t>
  </si>
  <si>
    <t>TipoMovimiento</t>
  </si>
  <si>
    <t>CategoriaID</t>
  </si>
  <si>
    <t>Categoria</t>
  </si>
  <si>
    <t>SubcategoriaID</t>
  </si>
  <si>
    <t>Subcategoria</t>
  </si>
  <si>
    <t>Monto</t>
  </si>
  <si>
    <t>Descripcion</t>
  </si>
  <si>
    <t>MedioPago</t>
  </si>
  <si>
    <t>Cuenta</t>
  </si>
  <si>
    <t>EsRecurrente</t>
  </si>
  <si>
    <t>Mes</t>
  </si>
  <si>
    <t>Anio</t>
  </si>
  <si>
    <t>UsuarioRegistro</t>
  </si>
  <si>
    <t>FechaRegistro</t>
  </si>
  <si>
    <t>Categorias</t>
  </si>
  <si>
    <t>Subcategorias</t>
  </si>
  <si>
    <t>TiposIngreso</t>
  </si>
  <si>
    <t>MediosPago</t>
  </si>
  <si>
    <t>Cuentas</t>
  </si>
  <si>
    <t>Clave</t>
  </si>
  <si>
    <t>Valor</t>
  </si>
  <si>
    <t>Detalle de gastos</t>
  </si>
  <si>
    <t>Transporte</t>
  </si>
  <si>
    <t>Servicios</t>
  </si>
  <si>
    <t>Ahorro</t>
  </si>
  <si>
    <t>Panel de presupuesto mensual</t>
  </si>
  <si>
    <t>Usa estos botones para registrar movimientos, administrar catÃ¡logos y consultar el presupuesto.</t>
  </si>
  <si>
    <t>Ingresos mes</t>
  </si>
  <si>
    <t>Gastos mes</t>
  </si>
  <si>
    <t>Balance mes</t>
  </si>
  <si>
    <t>Ingresos anio</t>
  </si>
  <si>
    <t>Gastos anio</t>
  </si>
  <si>
    <t>Balance anio</t>
  </si>
  <si>
    <t>Indicadores - julio 2026</t>
  </si>
  <si>
    <t>Resumen mensual 2026</t>
  </si>
  <si>
    <t>AÃ±o</t>
  </si>
  <si>
    <t>Balance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</si>
  <si>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</si>
  <si>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</si>
  <si>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</si>
  <si>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</si>
  <si>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</si>
  <si>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</si>
  <si>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</si>
  <si>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</si>
  <si>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</si>
  <si>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</si>
  <si>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</si>
  <si>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</si>
  <si>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anual ingresos</t>
  </si>
  <si>
    <t>Total anual gastos</t>
  </si>
  <si>
    <t>Balance anual</t>
  </si>
  <si>
    <t>Sueldo</t>
  </si>
  <si>
    <t>Honorarios</t>
  </si>
  <si>
    <t>Ventas</t>
  </si>
  <si>
    <t>Intereses</t>
  </si>
  <si>
    <t>Otros ingresos</t>
  </si>
  <si>
    <t>Efectivo</t>
  </si>
  <si>
    <t>Transferencia</t>
  </si>
  <si>
    <t>Tarjeta debito</t>
  </si>
  <si>
    <t>Tarjeta credito</t>
  </si>
  <si>
    <t>Deposito</t>
  </si>
  <si>
    <t>IDPresupuesto</t>
  </si>
  <si>
    <t>MontoPresupuestado</t>
  </si>
  <si>
    <t>META_AHORRO_MENSUAL</t>
  </si>
  <si>
    <t>Dashboard financiero julio 2026</t>
  </si>
  <si>
    <t>Total ingresos del mes</t>
  </si>
  <si>
    <t>Total gastos del mes</t>
  </si>
  <si>
    <t>Balance mensual</t>
  </si>
  <si>
    <t>Total presupuestado</t>
  </si>
  <si>
    <t>Total ejecutado</t>
  </si>
  <si>
    <t>% uso del presupuesto</t>
  </si>
  <si>
    <t>Categoria mayor gasto</t>
  </si>
  <si>
    <t>-</t>
  </si>
  <si>
    <t>Categoria mayor sobre gasto</t>
  </si>
  <si>
    <t>Ahorro (Ingresos - Gastos)</t>
  </si>
  <si>
    <t>Meta ahorro mensual</t>
  </si>
  <si>
    <t>Cumplimiento meta</t>
  </si>
  <si>
    <t>Estado meta</t>
  </si>
  <si>
    <t>Sin meta</t>
  </si>
  <si>
    <t>Presupuesto</t>
  </si>
  <si>
    <t>Real</t>
  </si>
  <si>
    <t>Diferencia</t>
  </si>
  <si>
    <t>%</t>
  </si>
  <si>
    <t>Alerta</t>
  </si>
  <si>
    <t>Meta categoria</t>
  </si>
  <si>
    <t>% meta</t>
  </si>
  <si>
    <t>Semaforo meta</t>
  </si>
  <si>
    <t>Sin datos de presupuesto para el periodo</t>
  </si>
  <si>
    <t>IDCierre</t>
  </si>
  <si>
    <t>Periodo</t>
  </si>
  <si>
    <t>IngresosMes</t>
  </si>
  <si>
    <t>GastosMes</t>
  </si>
  <si>
    <t>BalanceMes</t>
  </si>
  <si>
    <t>MetaAhorro</t>
  </si>
  <si>
    <t>CumplimientoMeta</t>
  </si>
  <si>
    <t>EstadoMeta</t>
  </si>
  <si>
    <t>TopSobreGasto</t>
  </si>
  <si>
    <t>TopSobreMonto</t>
  </si>
  <si>
    <t>FechaCierre</t>
  </si>
  <si>
    <t>UsuarioCierre</t>
  </si>
  <si>
    <t>IDAuditoria</t>
  </si>
  <si>
    <t>FechaEvento</t>
  </si>
  <si>
    <t>Usuario</t>
  </si>
  <si>
    <t>Accion</t>
  </si>
  <si>
    <t>Entidad</t>
  </si>
  <si>
    <t>IDRegistro</t>
  </si>
  <si>
    <t>Detalle</t>
  </si>
  <si>
    <t>Motivo</t>
  </si>
  <si>
    <t>IDInversion</t>
  </si>
  <si>
    <t>Plataforma</t>
  </si>
  <si>
    <t>SaldoAcumulado</t>
  </si>
  <si>
    <t>Comentario</t>
  </si>
  <si>
    <t>IDMovimientoRelacionado</t>
  </si>
  <si>
    <t>Retiro de inversion</t>
  </si>
  <si>
    <t>Gasto proyectado</t>
  </si>
  <si>
    <t>Alerta proyeccion</t>
  </si>
  <si>
    <t>Sin presupuesto</t>
  </si>
  <si>
    <t>Patrimonio de inversiones</t>
  </si>
  <si>
    <t>Capital inicial por plataforma</t>
  </si>
  <si>
    <t>Fondo Mutuo</t>
  </si>
  <si>
    <t>Cripto</t>
  </si>
  <si>
    <t>Acciones</t>
  </si>
  <si>
    <t>Resumen por plataforma</t>
  </si>
  <si>
    <t>Capital inicial</t>
  </si>
  <si>
    <t>Aportes acumulados</t>
  </si>
  <si>
    <t>Retiros acumulados</t>
  </si>
  <si>
    <t>Ganancia/Perdida</t>
  </si>
  <si>
    <t>Saldo actual</t>
  </si>
  <si>
    <t>Patrimonio total invertido</t>
  </si>
  <si>
    <t>Evolucion mensual del patrimonio</t>
  </si>
  <si>
    <t>Patrimonio total</t>
  </si>
  <si>
    <t>Variacion %</t>
  </si>
  <si>
    <t>Ganancia acumulada</t>
  </si>
  <si>
    <t>Retiros mes</t>
  </si>
  <si>
    <t>Rentabilidad mes</t>
  </si>
  <si>
    <t>Score salud financiera</t>
  </si>
  <si>
    <t>Gasto proyectado fin de mes</t>
  </si>
  <si>
    <t>% uso proyectado</t>
  </si>
  <si>
    <t>Metas cuenta/medio</t>
  </si>
  <si>
    <t>Sin metas</t>
  </si>
  <si>
    <t>Detalle score financiero</t>
  </si>
  <si>
    <t>Critico</t>
  </si>
  <si>
    <t>Atencion</t>
  </si>
  <si>
    <t>Patrimonio</t>
  </si>
  <si>
    <t>Retiros</t>
  </si>
  <si>
    <t>Excelente</t>
  </si>
  <si>
    <t>INV_UMBRAL_RETIRO_VS_RENTA</t>
  </si>
  <si>
    <t>INV_MESES_CAIDA_SOSTENIDA</t>
  </si>
  <si>
    <t>Dashboard inversiones</t>
  </si>
  <si>
    <t>Patrimonio total actual</t>
  </si>
  <si>
    <t>Retiro mensual desde inversiones</t>
  </si>
  <si>
    <t>% ingresos desde inversiones</t>
  </si>
  <si>
    <t>Tasa crecimiento patrimonio</t>
  </si>
  <si>
    <t>Relacion aportes / retirado</t>
  </si>
  <si>
    <t>Alerta patrimonio</t>
  </si>
  <si>
    <t>Sin alertas</t>
  </si>
  <si>
    <t>Actividad reciente</t>
  </si>
  <si>
    <t>ID</t>
  </si>
  <si>
    <t>Sin actividad registrada</t>
  </si>
  <si>
    <t>CIE-202606</t>
  </si>
  <si>
    <t>junio 2026</t>
  </si>
  <si>
    <t>Sergio</t>
  </si>
  <si>
    <t>Vivienda</t>
  </si>
  <si>
    <t>Alimentacion</t>
  </si>
  <si>
    <t>Educacion</t>
  </si>
  <si>
    <t>Ocio</t>
  </si>
  <si>
    <t>Salud|Farmacia</t>
  </si>
  <si>
    <t>Caja</t>
  </si>
  <si>
    <t>Banco</t>
  </si>
  <si>
    <t>Inversion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</si>
</sst>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#,##0\ &quot;€&quot;"/>
    <numFmt numFmtId="169" formatCode="_ [$$-340A]* #,##0_ ;_ [$$-340A]* \-#,##0_ ;_ [$$-340A]* &quot;-&quot;??_ ;_ @_ "/>
    <numFmt numFmtId="170" formatCode="dd/mm/yyyy\ hh:mm"/>
    <numFmt numFmtId="171" formatCode="0.0"/>
    <numFmt numFmtId="172" formatCode="dd/mm/yyyy"/>
  </numFmts>
  <fonts count="29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3"/>
      <name val="Calibri"/>
      <family val="2"/>
      <scheme val="major"/>
    </font>
    <font>
      <b/>
      <sz val="12"/>
      <color theme="0"/>
      <name val="Calibri"/>
      <family val="2"/>
      <scheme val="major"/>
    </font>
    <font>
      <b/>
      <sz val="11"/>
      <color theme="0"/>
      <name val="Calibri"/>
      <family val="2"/>
      <scheme val="major"/>
    </font>
    <font>
      <sz val="11"/>
      <name val="Calibri"/>
      <family val="2"/>
      <scheme val="major"/>
    </font>
    <font>
      <sz val="11"/>
      <color theme="3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scheme val="minor"/>
    </font>
    <font>
      <sz val="11"/>
      <color rgb="FF333333"/>
      <name val="Calibri"/>
      <family val="2"/>
    </font>
    <font>
      <b/>
      <sz val="18"/>
      <color rgb="FFFFFF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F4E7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8">
    <xf numFmtId="0" fontId="0" fillId="0" borderId="0">
      <alignment vertical="center" wrapText="1"/>
    </xf>
    <xf numFmtId="0" fontId="2" fillId="0" borderId="0" applyNumberFormat="0" applyFill="0" applyBorder="0" applyAlignment="0" applyProtection="0"/>
    <xf numFmtId="0" fontId="3" fillId="4" borderId="2" applyNumberFormat="0" applyProtection="0">
      <alignment vertical="center"/>
    </xf>
    <xf numFmtId="0" fontId="4" fillId="3" borderId="1" applyNumberFormat="0" applyProtection="0">
      <alignment horizontal="center" vertical="center"/>
    </xf>
    <xf numFmtId="0" fontId="4" fillId="3" borderId="1" applyNumberFormat="0" applyProtection="0">
      <alignment vertical="center"/>
    </xf>
    <xf numFmtId="0" fontId="5" fillId="2" borderId="3" applyNumberFormat="0" applyProtection="0">
      <alignment vertical="center"/>
    </xf>
    <xf numFmtId="168" fontId="6" fillId="0" borderId="3" applyFill="0" applyProtection="0">
      <alignment vertical="center"/>
    </xf>
    <xf numFmtId="168" fontId="6" fillId="2" borderId="3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67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8" fillId="10" borderId="7" applyNumberFormat="0" applyAlignment="0" applyProtection="0"/>
    <xf numFmtId="0" fontId="17" fillId="0" borderId="0" applyNumberFormat="0" applyFill="0" applyBorder="0" applyAlignment="0" applyProtection="0"/>
    <xf numFmtId="0" fontId="9" fillId="11" borderId="8" applyNumberFormat="0" applyFont="0" applyAlignment="0" applyProtection="0"/>
    <xf numFmtId="0" fontId="18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63">
    <xf numFmtId="0" fontId="0" fillId="0" borderId="0" xfId="0">
      <alignment vertical="center" wrapText="1"/>
    </xf>
    <xf numFmtId="0" fontId="2" fillId="0" borderId="0" xfId="1" applyNumberFormat="1" applyAlignment="1">
      <alignment vertical="center"/>
    </xf>
    <xf numFmtId="0" fontId="3" fillId="4" borderId="2" xfId="2">
      <alignment vertical="center"/>
    </xf>
    <xf numFmtId="0" fontId="8" fillId="0" borderId="1" xfId="4" applyFont="1" applyFill="1">
      <alignment vertical="center"/>
    </xf>
    <xf numFmtId="0" fontId="8" fillId="0" borderId="1" xfId="3" applyFont="1" applyFill="1" applyAlignment="1">
      <alignment vertical="center"/>
    </xf>
    <xf numFmtId="169" fontId="6" fillId="0" borderId="0" xfId="12" applyNumberFormat="1" applyFont="1" applyFill="1" applyBorder="1" applyAlignment="1">
      <alignment vertical="center" wrapText="1"/>
    </xf>
    <xf numFmtId="169" fontId="0" fillId="0" borderId="0" xfId="12" applyNumberFormat="1" applyFont="1" applyFill="1" applyBorder="1" applyAlignment="1">
      <alignment vertical="center" wrapText="1"/>
    </xf>
    <xf numFmtId="169" fontId="0" fillId="0" borderId="0" xfId="12" applyNumberFormat="1" applyFont="1" applyFill="1" applyBorder="1" applyAlignment="1">
      <alignment vertical="center"/>
    </xf>
    <xf numFmtId="0" fontId="19" fillId="0" borderId="0" xfId="0" applyFont="1">
      <alignment vertical="center" wrapText="1"/>
    </xf>
    <xf numFmtId="0" fontId="19" fillId="0" borderId="0" xfId="4" applyFont="1" applyFill="1" applyBorder="1" applyAlignment="1">
      <alignment vertical="center" wrapText="1"/>
    </xf>
    <xf numFmtId="169" fontId="0" fillId="0" borderId="0" xfId="12" applyNumberFormat="1" applyFont="1" applyAlignment="1">
      <alignment vertical="center" wrapText="1"/>
    </xf>
    <xf numFmtId="169" fontId="0" fillId="0" borderId="0" xfId="0" applyNumberFormat="1">
      <alignment vertical="center" wrapText="1"/>
    </xf>
    <xf numFmtId="169" fontId="20" fillId="0" borderId="0" xfId="12" applyNumberFormat="1" applyFont="1" applyAlignment="1">
      <alignment vertical="center" wrapText="1"/>
    </xf>
    <xf numFmtId="4" fontId="0" fillId="0" borderId="0" xfId="0" applyNumberFormat="1">
      <alignment vertical="center" wrapText="1"/>
    </xf>
    <xf numFmtId="0" fontId="0" fillId="0" borderId="0" xfId="0" applyProtection="1">
      <alignment vertical="center" wrapText="1"/>
      <protection locked="0"/>
    </xf>
    <xf numFmtId="0" fontId="24" fillId="37" borderId="9" xfId="0" applyFont="1" applyFill="1" applyBorder="1">
      <alignment vertical="center" wrapText="1"/>
    </xf>
    <xf numFmtId="4" fontId="24" fillId="37" borderId="9" xfId="0" applyNumberFormat="1" applyFont="1" applyFill="1" applyBorder="1">
      <alignment vertical="center" wrapText="1"/>
    </xf>
    <xf numFmtId="4" fontId="24" fillId="38" borderId="9" xfId="0" applyNumberFormat="1" applyFont="1" applyFill="1" applyBorder="1">
      <alignment vertical="center" wrapText="1"/>
    </xf>
    <xf numFmtId="4" fontId="0" fillId="38" borderId="0" xfId="0" applyNumberFormat="1" applyFill="1">
      <alignment vertical="center" wrapText="1"/>
    </xf>
    <xf numFmtId="170" fontId="0" fillId="0" borderId="0" xfId="0" applyNumberFormat="1">
      <alignment vertical="center" wrapText="1"/>
    </xf>
    <xf numFmtId="1" fontId="0" fillId="0" borderId="0" xfId="0" applyNumberFormat="1">
      <alignment vertical="center" wrapText="1"/>
    </xf>
    <xf numFmtId="0" fontId="23" fillId="39" borderId="0" xfId="0" applyFont="1" applyFill="1">
      <alignment vertical="center" wrapText="1"/>
    </xf>
    <xf numFmtId="10" fontId="0" fillId="0" borderId="0" xfId="0" applyNumberFormat="1">
      <alignment vertical="center" wrapText="1"/>
    </xf>
    <xf numFmtId="0" fontId="0" fillId="40" borderId="0" xfId="0" applyFill="1">
      <alignment vertical="center" wrapText="1"/>
    </xf>
    <xf numFmtId="0" fontId="0" fillId="0" borderId="9" xfId="0" applyBorder="1">
      <alignment vertical="center" wrapText="1"/>
    </xf>
    <xf numFmtId="0" fontId="23" fillId="0" borderId="0" xfId="0" applyFont="1">
      <alignment vertical="center" wrapText="1"/>
    </xf>
    <xf numFmtId="0" fontId="0" fillId="41" borderId="0" xfId="0" applyFill="1">
      <alignment vertical="center" wrapText="1"/>
    </xf>
    <xf numFmtId="4" fontId="0" fillId="42" borderId="0" xfId="0" applyNumberFormat="1" applyFill="1">
      <alignment vertical="center" wrapText="1"/>
    </xf>
    <xf numFmtId="4" fontId="23" fillId="0" borderId="0" xfId="0" applyNumberFormat="1" applyFont="1">
      <alignment vertical="center" wrapText="1"/>
    </xf>
    <xf numFmtId="17" fontId="0" fillId="0" borderId="0" xfId="0" applyNumberFormat="1">
      <alignment vertical="center" wrapText="1"/>
    </xf>
    <xf numFmtId="0" fontId="0" fillId="43" borderId="9" xfId="0" applyFill="1" applyBorder="1">
      <alignment vertical="center" wrapText="1"/>
    </xf>
    <xf numFmtId="0" fontId="0" fillId="44" borderId="9" xfId="0" applyFill="1" applyBorder="1">
      <alignment vertical="center" wrapText="1"/>
    </xf>
    <xf numFmtId="0" fontId="0" fillId="41" borderId="9" xfId="0" applyFill="1" applyBorder="1">
      <alignment vertical="center" wrapText="1"/>
    </xf>
    <xf numFmtId="171" fontId="0" fillId="43" borderId="9" xfId="0" applyNumberFormat="1" applyFill="1" applyBorder="1">
      <alignment vertical="center" wrapText="1"/>
    </xf>
    <xf numFmtId="171" fontId="0" fillId="44" borderId="9" xfId="0" applyNumberFormat="1" applyFill="1" applyBorder="1">
      <alignment vertical="center" wrapText="1"/>
    </xf>
    <xf numFmtId="171" fontId="0" fillId="41" borderId="9" xfId="0" applyNumberFormat="1" applyFill="1" applyBorder="1">
      <alignment vertical="center" wrapText="1"/>
    </xf>
    <xf numFmtId="171" fontId="0" fillId="44" borderId="0" xfId="0" applyNumberFormat="1" applyFill="1">
      <alignment vertical="center" wrapText="1"/>
    </xf>
    <xf numFmtId="0" fontId="23" fillId="40" borderId="9" xfId="0" applyFont="1" applyFill="1" applyBorder="1">
      <alignment vertical="center" wrapText="1"/>
    </xf>
    <xf numFmtId="170" fontId="0" fillId="0" borderId="9" xfId="0" applyNumberFormat="1" applyBorder="1">
      <alignment vertical="center" wrapText="1"/>
    </xf>
    <xf numFmtId="0" fontId="21" fillId="36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>
      <alignment vertical="center" wrapText="1"/>
    </xf>
    <xf numFmtId="0" fontId="0" fillId="0" borderId="0" xfId="0">
      <alignment vertical="center" wrapText="1"/>
    </xf>
    <xf numFmtId="0" fontId="2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4" fillId="37" borderId="9" xfId="0" applyFont="1" applyFill="1" applyBorder="1">
      <alignment vertical="center" wrapText="1"/>
    </xf>
    <xf numFmtId="0" fontId="24" fillId="41" borderId="9" xfId="0" applyFont="1" applyFill="1" applyBorder="1">
      <alignment vertical="center" wrapText="1"/>
    </xf>
    <xf numFmtId="0" fontId="24" fillId="38" borderId="9" xfId="0" applyFont="1" applyFill="1" applyBorder="1">
      <alignment vertical="center" wrapText="1"/>
    </xf>
    <xf numFmtId="0" fontId="2" fillId="0" borderId="0" xfId="1" applyNumberFormat="1" applyAlignment="1">
      <alignment vertical="center"/>
    </xf>
    <xf numFmtId="0" fontId="25" fillId="36" borderId="0" xfId="0" applyFont="1" applyFill="1" applyAlignment="1">
      <alignment horizontal="center" vertical="center" wrapText="1"/>
    </xf>
    <xf numFmtId="0" fontId="23" fillId="39" borderId="9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7" fillId="45" borderId="0" xfId="0" applyFont="1" applyFill="1" applyAlignment="1">
      <alignment horizontal="center" vertical="center" wrapText="1"/>
    </xf>
    <xf numFmtId="0" fontId="28" fillId="39" borderId="0" xfId="0" applyFont="1" applyFill="1" applyAlignment="1">
      <alignment horizontal="left" vertical="center" wrapText="1"/>
    </xf>
    <xf numFmtId="0" fontId="26" fillId="36" borderId="0" xfId="0" applyFont="1" applyFill="1" applyAlignment="1">
      <alignment horizontal="center" vertical="center" wrapText="1"/>
    </xf>
    <xf numFmtId="172" fontId="0" fillId="0" borderId="0" xfId="0" applyNumberFormat="1">
      <alignment vertical="center" wrapText="1"/>
    </xf>
    <xf numFmtId="0" fontId="0" fillId="0" borderId="0" xfId="0" applyProtection="1">
      <alignment vertical="center" wrapText="1"/>
    </xf>
    <xf numFmtId="172" fontId="0" fillId="0" borderId="0" xfId="0" applyNumberFormat="1" applyProtection="1">
      <alignment vertical="center" wrapText="1"/>
    </xf>
    <xf numFmtId="4" fontId="0" fillId="0" borderId="0" xfId="0" applyNumberFormat="1" applyProtection="1">
      <alignment vertical="center" wrapText="1"/>
    </xf>
    <xf numFmtId="170" fontId="0" fillId="0" borderId="0" xfId="0" applyNumberFormat="1" applyProtection="1">
      <alignment vertical="center" wrapText="1"/>
    </xf>
    <xf numFmtId="0" fontId="0" fillId="0" borderId="9" xfId="0" applyFill="1" applyBorder="1">
      <alignment vertical="center" wrapText="1"/>
    </xf>
    <xf numFmtId="4" fontId="0" fillId="0" borderId="9" xfId="0" applyNumberFormat="1" applyFill="1" applyBorder="1">
      <alignment vertical="center" wrapText="1"/>
    </xf>
    <xf numFmtId="10" fontId="0" fillId="0" borderId="9" xfId="0" applyNumberFormat="1" applyFill="1" applyBorder="1">
      <alignment vertical="center" wrapText="1"/>
    </xf>
  </cellXfs>
  <cellStyles count="48">
    <cellStyle name="20% - Énfasis1" xfId="25" builtinId="30" customBuiltin="1"/>
    <cellStyle name="20% - Énfasis2" xfId="29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6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7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Bueno" xfId="14" builtinId="26" customBuiltin="1"/>
    <cellStyle name="Cálculo" xfId="19" builtinId="22" customBuiltin="1"/>
    <cellStyle name="Celda de comprobación" xfId="21" builtinId="23" customBuiltin="1"/>
    <cellStyle name="Celda vinculada" xfId="20" builtinId="24" customBuiltin="1"/>
    <cellStyle name="Encabezado 1" xfId="2" builtinId="16" customBuiltin="1"/>
    <cellStyle name="Encabezado 4" xfId="5" builtinId="19" customBuiltin="1"/>
    <cellStyle name="Énfasis1" xfId="24" builtinId="29" customBuiltin="1"/>
    <cellStyle name="Énfasis2" xfId="28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17" builtinId="20" customBuiltin="1"/>
    <cellStyle name="Importe" xfId="7" xr:uid="{00000000-0005-0000-0000-00001F000000}"/>
    <cellStyle name="Incorrecto" xfId="15" builtinId="27" customBuiltin="1"/>
    <cellStyle name="Millares" xfId="9" builtinId="3" customBuiltin="1"/>
    <cellStyle name="Millares [0]" xfId="10" builtinId="6" customBuiltin="1"/>
    <cellStyle name="Moneda" xfId="11" builtinId="4" customBuiltin="1"/>
    <cellStyle name="Moneda [0]" xfId="12" builtinId="7" customBuiltin="1"/>
    <cellStyle name="Neutral" xfId="16" builtinId="28" customBuiltin="1"/>
    <cellStyle name="Normal" xfId="0" builtinId="0" customBuiltin="1"/>
    <cellStyle name="Notas" xfId="23" builtinId="10" customBuiltin="1"/>
    <cellStyle name="Porcentaje" xfId="13" builtinId="5" customBuiltin="1"/>
    <cellStyle name="Salida" xfId="18" builtinId="21" customBuiltin="1"/>
    <cellStyle name="Texto de advertencia" xfId="22" builtinId="11" customBuiltin="1"/>
    <cellStyle name="Texto explicativo" xfId="8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6" builtinId="25" customBuiltin="1"/>
  </cellStyles>
  <dxfs count="70">
    <dxf>
      <protection locked="1" hidden="0"/>
    </dxf>
    <dxf>
      <protection locked="1" hidden="0"/>
    </dxf>
    <dxf>
      <numFmt numFmtId="170" formatCode="dd/mm/yyyy\ hh:mm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4" formatCode="#,##0.0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72" formatCode="dd/mm/yyyy"/>
      <protection locked="1" hidden="0"/>
    </dxf>
    <dxf>
      <protection locked="1" hidden="0"/>
    </dxf>
    <dxf>
      <numFmt numFmtId="170" formatCode="dd/mm/yyyy\ hh:mm"/>
    </dxf>
    <dxf>
      <numFmt numFmtId="4" formatCode="#,##0.00"/>
    </dxf>
    <dxf>
      <numFmt numFmtId="4" formatCode="#,##0.00"/>
    </dxf>
    <dxf>
      <numFmt numFmtId="172" formatCode="dd/mm/yyyy"/>
    </dxf>
    <dxf>
      <numFmt numFmtId="170" formatCode="dd/mm/yyyy\ hh:mm"/>
    </dxf>
    <dxf>
      <numFmt numFmtId="4" formatCode="#,##0.00"/>
    </dxf>
    <dxf>
      <numFmt numFmtId="1" formatCode="0"/>
    </dxf>
    <dxf>
      <numFmt numFmtId="1" formatCode="0"/>
    </dxf>
    <dxf>
      <numFmt numFmtId="170" formatCode="dd/mm/yyyy\ hh:mm"/>
    </dxf>
    <dxf>
      <numFmt numFmtId="4" formatCode="#,##0.00"/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numFmt numFmtId="169" formatCode="_ [$$-340A]* #,##0_ ;_ [$$-340A]* \-#,##0_ ;_ [$$-340A]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border>
        <vertical style="thin">
          <color theme="6" tint="0.39994506668294322"/>
        </vertical>
      </border>
    </dxf>
    <dxf>
      <fill>
        <patternFill>
          <bgColor theme="7" tint="0.79998168889431442"/>
        </patternFill>
      </fill>
      <border>
        <bottom style="thin">
          <color theme="0"/>
        </bottom>
        <vertical style="thin">
          <color theme="6" tint="0.39994506668294322"/>
        </vertical>
        <horizontal/>
      </border>
    </dxf>
    <dxf>
      <fill>
        <patternFill>
          <bgColor theme="7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</border>
    </dxf>
    <dxf>
      <font>
        <color theme="0"/>
      </font>
      <fill>
        <patternFill>
          <bgColor theme="6" tint="-0.24994659260841701"/>
        </patternFill>
      </fill>
      <border>
        <top style="thin">
          <color theme="0"/>
        </top>
        <bottom style="thin">
          <color theme="0"/>
        </bottom>
      </border>
    </dxf>
    <dxf>
      <font>
        <color auto="1"/>
      </font>
    </dxf>
  </dxfs>
  <tableStyles count="1" defaultTableStyle="TableStyleMedium2" defaultPivotStyle="PivotStyleLight16">
    <tableStyle name="Expense" pivot="0" count="5" xr9:uid="{00000000-0011-0000-FFFF-FFFF00000000}">
      <tableStyleElement type="wholeTable" dxfId="69"/>
      <tableStyleElement type="headerRow" dxfId="68"/>
      <tableStyleElement type="totalRow" dxfId="67"/>
      <tableStyleElement type="firstRowStripe" dxfId="66"/>
      <tableStyleElement type="secondRowStripe" dxfId="6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Crecimiento del patrimonio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Patrimonio!$B$20</c:f>
              <c:strCache>
                <c:ptCount val="1"/>
                <c:pt idx="0">
                  <c:v>Patrimonio total</c:v>
                </c:pt>
              </c:strCache>
            </c:strRef>
          </c:tx>
          <c:cat>
            <c:numRef>
              <c:f>Patrimonio!$A$21</c:f>
              <c:numCache>
                <c:formatCode>mmm\-yy</c:formatCode>
                <c:ptCount val="1"/>
                <c:pt idx="0">
                  <c:v>46204</c:v>
                </c:pt>
              </c:numCache>
            </c:numRef>
          </c:cat>
          <c:val>
            <c:numRef>
              <c:f>Patrimonio!$B$21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9-417D-AD6F-68BB8C11C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40399"/>
        <c:axId val="387706223"/>
      </c:lineChart>
      <c:dateAx>
        <c:axId val="49134039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387706223"/>
        <c:crosses val="autoZero"/>
        <c:auto val="1"/>
        <c:lblOffset val="100"/>
        <c:baseTimeUnit val="days"/>
      </c:dateAx>
      <c:valAx>
        <c:axId val="387706223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491340399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Retiros mensuales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Patrimonio!$E$20</c:f>
              <c:strCache>
                <c:ptCount val="1"/>
                <c:pt idx="0">
                  <c:v>Retiros mes</c:v>
                </c:pt>
              </c:strCache>
            </c:strRef>
          </c:tx>
          <c:invertIfNegative val="0"/>
          <c:cat>
            <c:numRef>
              <c:f>Patrimonio!$A$21</c:f>
              <c:numCache>
                <c:formatCode>mmm\-yy</c:formatCode>
                <c:ptCount val="1"/>
                <c:pt idx="0">
                  <c:v>46204</c:v>
                </c:pt>
              </c:numCache>
            </c:numRef>
          </c:cat>
          <c:val>
            <c:numRef>
              <c:f>Patrimonio!$E$21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B-4C33-A60A-CEBC47FD8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358879"/>
        <c:axId val="387708623"/>
      </c:barChart>
      <c:dateAx>
        <c:axId val="50435887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387708623"/>
        <c:crosses val="autoZero"/>
        <c:auto val="1"/>
        <c:lblOffset val="100"/>
        <c:baseTimeUnit val="days"/>
      </c:dateAx>
      <c:valAx>
        <c:axId val="387708623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504358879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Distribucion por plataforma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Patrimonio!$F$10</c:f>
              <c:strCache>
                <c:ptCount val="1"/>
                <c:pt idx="0">
                  <c:v>Saldo actual</c:v>
                </c:pt>
              </c:strCache>
            </c:strRef>
          </c:tx>
          <c:cat>
            <c:strRef>
              <c:f>Patrimonio!$A$11:$A$15</c:f>
              <c:strCache>
                <c:ptCount val="5"/>
                <c:pt idx="0">
                  <c:v>AFP</c:v>
                </c:pt>
                <c:pt idx="1">
                  <c:v>Fondo Mutuo</c:v>
                </c:pt>
                <c:pt idx="2">
                  <c:v>Cripto</c:v>
                </c:pt>
                <c:pt idx="3">
                  <c:v>Acciones</c:v>
                </c:pt>
                <c:pt idx="4">
                  <c:v>Patrimonio total invertido</c:v>
                </c:pt>
              </c:strCache>
            </c:strRef>
          </c:cat>
          <c:val>
            <c:numRef>
              <c:f>Patrimonio!$F$11:$F$15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04C-8312-EAABFF731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1485900</xdr:colOff>
      <xdr:row>12</xdr:row>
      <xdr:rowOff>1460500</xdr:rowOff>
    </xdr:from>
    <xdr:to>
      <xdr:col>13</xdr:col>
      <xdr:colOff>434975</xdr:colOff>
      <xdr:row>15</xdr:row>
      <xdr:rowOff>698500</xdr:rowOff>
    </xdr:to>
    <xdr:graphicFrame macro="">
      <xdr:nvGraphicFramePr>
        <xdr:cNvPr id="8" name="chtInvCrecimiento">
          <a:extLst>
            <a:ext uri="{FF2B5EF4-FFF2-40B4-BE49-F238E27FC236}">
              <a16:creationId xmlns:a16="http://schemas.microsoft.com/office/drawing/2014/main" id="{CF4364FC-6232-8916-CB77-B8273D23B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1485900</xdr:colOff>
      <xdr:row>15</xdr:row>
      <xdr:rowOff>825500</xdr:rowOff>
    </xdr:from>
    <xdr:to>
      <xdr:col>13</xdr:col>
      <xdr:colOff>434975</xdr:colOff>
      <xdr:row>26</xdr:row>
      <xdr:rowOff>63500</xdr:rowOff>
    </xdr:to>
    <xdr:graphicFrame macro="">
      <xdr:nvGraphicFramePr>
        <xdr:cNvPr id="9" name="chtInvRetirosMensuales">
          <a:extLst>
            <a:ext uri="{FF2B5EF4-FFF2-40B4-BE49-F238E27FC236}">
              <a16:creationId xmlns:a16="http://schemas.microsoft.com/office/drawing/2014/main" id="{BFBA814A-D19E-0F6B-0DD5-6ADEFE0FD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12</xdr:row>
      <xdr:rowOff>1460500</xdr:rowOff>
    </xdr:from>
    <xdr:to>
      <xdr:col>6</xdr:col>
      <xdr:colOff>977900</xdr:colOff>
      <xdr:row>17</xdr:row>
      <xdr:rowOff>127000</xdr:rowOff>
    </xdr:to>
    <xdr:graphicFrame macro="">
      <xdr:nvGraphicFramePr>
        <xdr:cNvPr id="10" name="chtInvDistribucion">
          <a:extLst>
            <a:ext uri="{FF2B5EF4-FFF2-40B4-BE49-F238E27FC236}">
              <a16:creationId xmlns:a16="http://schemas.microsoft.com/office/drawing/2014/main" id="{F792DDB0-3EA5-85D6-8712-2938DD1658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10</xdr:row>
      <xdr:rowOff>174625</xdr:rowOff>
    </xdr:from>
    <xdr:to>
      <xdr:col>2</xdr:col>
      <xdr:colOff>95250</xdr:colOff>
      <xdr:row>13</xdr:row>
      <xdr:rowOff>136525</xdr:rowOff>
    </xdr:to>
    <xdr:sp macro="[0]!MostrarFormularioMovimientoIngreso" textlink="">
      <xdr:nvSpPr>
        <xdr:cNvPr id="28" name="btnPanelIngreso">
          <a:extLst>
            <a:ext uri="{FF2B5EF4-FFF2-40B4-BE49-F238E27FC236}">
              <a16:creationId xmlns:a16="http://schemas.microsoft.com/office/drawing/2014/main" id="{9DC2AA9F-4E3D-8A7C-9168-CBE5845B6DCD}"/>
            </a:ext>
          </a:extLst>
        </xdr:cNvPr>
        <xdr:cNvSpPr/>
      </xdr:nvSpPr>
      <xdr:spPr>
        <a:xfrm>
          <a:off x="304800" y="2413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Registrar ingreso</a:t>
          </a:r>
        </a:p>
      </xdr:txBody>
    </xdr:sp>
    <xdr:clientData/>
  </xdr:twoCellAnchor>
  <xdr:twoCellAnchor>
    <xdr:from>
      <xdr:col>2</xdr:col>
      <xdr:colOff>298450</xdr:colOff>
      <xdr:row>10</xdr:row>
      <xdr:rowOff>174625</xdr:rowOff>
    </xdr:from>
    <xdr:to>
      <xdr:col>4</xdr:col>
      <xdr:colOff>88900</xdr:colOff>
      <xdr:row>13</xdr:row>
      <xdr:rowOff>136525</xdr:rowOff>
    </xdr:to>
    <xdr:sp macro="[0]!MostrarFormularioMovimientoGasto" textlink="">
      <xdr:nvSpPr>
        <xdr:cNvPr id="29" name="btnPanelGasto">
          <a:extLst>
            <a:ext uri="{FF2B5EF4-FFF2-40B4-BE49-F238E27FC236}">
              <a16:creationId xmlns:a16="http://schemas.microsoft.com/office/drawing/2014/main" id="{6A6FA0C7-FAC0-C5F2-B28B-B75D752E4958}"/>
            </a:ext>
          </a:extLst>
        </xdr:cNvPr>
        <xdr:cNvSpPr/>
      </xdr:nvSpPr>
      <xdr:spPr>
        <a:xfrm>
          <a:off x="2794000" y="2413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Registrar gasto</a:t>
          </a:r>
        </a:p>
      </xdr:txBody>
    </xdr:sp>
    <xdr:clientData/>
  </xdr:twoCellAnchor>
  <xdr:twoCellAnchor>
    <xdr:from>
      <xdr:col>0</xdr:col>
      <xdr:colOff>304800</xdr:colOff>
      <xdr:row>14</xdr:row>
      <xdr:rowOff>174625</xdr:rowOff>
    </xdr:from>
    <xdr:to>
      <xdr:col>2</xdr:col>
      <xdr:colOff>95250</xdr:colOff>
      <xdr:row>17</xdr:row>
      <xdr:rowOff>136525</xdr:rowOff>
    </xdr:to>
    <xdr:sp macro="[0]!MostrarFormularioCategorias" textlink="">
      <xdr:nvSpPr>
        <xdr:cNvPr id="30" name="btnPanelCategorias">
          <a:extLst>
            <a:ext uri="{FF2B5EF4-FFF2-40B4-BE49-F238E27FC236}">
              <a16:creationId xmlns:a16="http://schemas.microsoft.com/office/drawing/2014/main" id="{65CECBD2-AC5C-12FB-9A31-01870FF3CB82}"/>
            </a:ext>
          </a:extLst>
        </xdr:cNvPr>
        <xdr:cNvSpPr/>
      </xdr:nvSpPr>
      <xdr:spPr>
        <a:xfrm>
          <a:off x="304800" y="3175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Administrar categorias</a:t>
          </a:r>
        </a:p>
      </xdr:txBody>
    </xdr:sp>
    <xdr:clientData/>
  </xdr:twoCellAnchor>
  <xdr:twoCellAnchor>
    <xdr:from>
      <xdr:col>2</xdr:col>
      <xdr:colOff>298450</xdr:colOff>
      <xdr:row>14</xdr:row>
      <xdr:rowOff>174625</xdr:rowOff>
    </xdr:from>
    <xdr:to>
      <xdr:col>4</xdr:col>
      <xdr:colOff>88900</xdr:colOff>
      <xdr:row>17</xdr:row>
      <xdr:rowOff>136525</xdr:rowOff>
    </xdr:to>
    <xdr:sp macro="[0]!MostrarFormularioConsultasPresupuesto" textlink="">
      <xdr:nvSpPr>
        <xdr:cNvPr id="31" name="btnPanelConsultas">
          <a:extLst>
            <a:ext uri="{FF2B5EF4-FFF2-40B4-BE49-F238E27FC236}">
              <a16:creationId xmlns:a16="http://schemas.microsoft.com/office/drawing/2014/main" id="{8EC14352-217C-3234-9A6F-05B383561103}"/>
            </a:ext>
          </a:extLst>
        </xdr:cNvPr>
        <xdr:cNvSpPr/>
      </xdr:nvSpPr>
      <xdr:spPr>
        <a:xfrm>
          <a:off x="2794000" y="3175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Consultas</a:t>
          </a:r>
        </a:p>
      </xdr:txBody>
    </xdr:sp>
    <xdr:clientData/>
  </xdr:twoCellAnchor>
  <xdr:twoCellAnchor>
    <xdr:from>
      <xdr:col>0</xdr:col>
      <xdr:colOff>304800</xdr:colOff>
      <xdr:row>18</xdr:row>
      <xdr:rowOff>174625</xdr:rowOff>
    </xdr:from>
    <xdr:to>
      <xdr:col>2</xdr:col>
      <xdr:colOff>95250</xdr:colOff>
      <xdr:row>21</xdr:row>
      <xdr:rowOff>136525</xdr:rowOff>
    </xdr:to>
    <xdr:sp macro="[0]!MostrarFormularioPresupuesto" textlink="">
      <xdr:nvSpPr>
        <xdr:cNvPr id="32" name="btnPanelPresupuesto">
          <a:extLst>
            <a:ext uri="{FF2B5EF4-FFF2-40B4-BE49-F238E27FC236}">
              <a16:creationId xmlns:a16="http://schemas.microsoft.com/office/drawing/2014/main" id="{531088EB-BB4F-C3BC-CD4B-A5126418D20B}"/>
            </a:ext>
          </a:extLst>
        </xdr:cNvPr>
        <xdr:cNvSpPr/>
      </xdr:nvSpPr>
      <xdr:spPr>
        <a:xfrm>
          <a:off x="304800" y="3937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Planificar presupuesto</a:t>
          </a:r>
        </a:p>
      </xdr:txBody>
    </xdr:sp>
    <xdr:clientData/>
  </xdr:twoCellAnchor>
  <xdr:twoCellAnchor>
    <xdr:from>
      <xdr:col>2</xdr:col>
      <xdr:colOff>298450</xdr:colOff>
      <xdr:row>18</xdr:row>
      <xdr:rowOff>174625</xdr:rowOff>
    </xdr:from>
    <xdr:to>
      <xdr:col>4</xdr:col>
      <xdr:colOff>88900</xdr:colOff>
      <xdr:row>21</xdr:row>
      <xdr:rowOff>136525</xdr:rowOff>
    </xdr:to>
    <xdr:sp macro="[0]!Pres_ActualizarSalidasPresupuesto" textlink="">
      <xdr:nvSpPr>
        <xdr:cNvPr id="33" name="btnPanelResumen">
          <a:extLst>
            <a:ext uri="{FF2B5EF4-FFF2-40B4-BE49-F238E27FC236}">
              <a16:creationId xmlns:a16="http://schemas.microsoft.com/office/drawing/2014/main" id="{1D4A8DCA-A651-65F3-3CAA-1F8C84250579}"/>
            </a:ext>
          </a:extLst>
        </xdr:cNvPr>
        <xdr:cNvSpPr/>
      </xdr:nvSpPr>
      <xdr:spPr>
        <a:xfrm>
          <a:off x="2794000" y="3937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Actualizar resumen</a:t>
          </a:r>
        </a:p>
      </xdr:txBody>
    </xdr:sp>
    <xdr:clientData/>
  </xdr:twoCellAnchor>
  <xdr:twoCellAnchor>
    <xdr:from>
      <xdr:col>0</xdr:col>
      <xdr:colOff>304800</xdr:colOff>
      <xdr:row>22</xdr:row>
      <xdr:rowOff>174625</xdr:rowOff>
    </xdr:from>
    <xdr:to>
      <xdr:col>2</xdr:col>
      <xdr:colOff>95250</xdr:colOff>
      <xdr:row>25</xdr:row>
      <xdr:rowOff>136525</xdr:rowOff>
    </xdr:to>
    <xdr:sp macro="[0]!MostrarDashboardPresupuesto" textlink="">
      <xdr:nvSpPr>
        <xdr:cNvPr id="34" name="btnPanelDashboard">
          <a:extLst>
            <a:ext uri="{FF2B5EF4-FFF2-40B4-BE49-F238E27FC236}">
              <a16:creationId xmlns:a16="http://schemas.microsoft.com/office/drawing/2014/main" id="{3AEBA058-C375-BC64-3EA9-B36CF981F307}"/>
            </a:ext>
          </a:extLst>
        </xdr:cNvPr>
        <xdr:cNvSpPr/>
      </xdr:nvSpPr>
      <xdr:spPr>
        <a:xfrm>
          <a:off x="304800" y="4699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Ver dashboard</a:t>
          </a:r>
        </a:p>
      </xdr:txBody>
    </xdr:sp>
    <xdr:clientData/>
  </xdr:twoCellAnchor>
  <xdr:twoCellAnchor>
    <xdr:from>
      <xdr:col>2</xdr:col>
      <xdr:colOff>298450</xdr:colOff>
      <xdr:row>22</xdr:row>
      <xdr:rowOff>174625</xdr:rowOff>
    </xdr:from>
    <xdr:to>
      <xdr:col>4</xdr:col>
      <xdr:colOff>88900</xdr:colOff>
      <xdr:row>25</xdr:row>
      <xdr:rowOff>136525</xdr:rowOff>
    </xdr:to>
    <xdr:sp macro="[0]!MostrarHojaResumenPresupuesto" textlink="">
      <xdr:nvSpPr>
        <xdr:cNvPr id="35" name="btnPanelInicio">
          <a:extLst>
            <a:ext uri="{FF2B5EF4-FFF2-40B4-BE49-F238E27FC236}">
              <a16:creationId xmlns:a16="http://schemas.microsoft.com/office/drawing/2014/main" id="{CE273270-992E-802A-339F-0F0B83AAE397}"/>
            </a:ext>
          </a:extLst>
        </xdr:cNvPr>
        <xdr:cNvSpPr/>
      </xdr:nvSpPr>
      <xdr:spPr>
        <a:xfrm>
          <a:off x="2794000" y="4699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Ir a Resumen</a:t>
          </a:r>
        </a:p>
      </xdr:txBody>
    </xdr:sp>
    <xdr:clientData/>
  </xdr:twoCellAnchor>
  <xdr:twoCellAnchor>
    <xdr:from>
      <xdr:col>0</xdr:col>
      <xdr:colOff>304800</xdr:colOff>
      <xdr:row>26</xdr:row>
      <xdr:rowOff>174625</xdr:rowOff>
    </xdr:from>
    <xdr:to>
      <xdr:col>2</xdr:col>
      <xdr:colOff>95250</xdr:colOff>
      <xdr:row>29</xdr:row>
      <xdr:rowOff>136525</xdr:rowOff>
    </xdr:to>
    <xdr:sp macro="[0]!Pres_ConfigurarMetaAhorroMensual" textlink="">
      <xdr:nvSpPr>
        <xdr:cNvPr id="36" name="btnPanelMetaAhorro">
          <a:extLst>
            <a:ext uri="{FF2B5EF4-FFF2-40B4-BE49-F238E27FC236}">
              <a16:creationId xmlns:a16="http://schemas.microsoft.com/office/drawing/2014/main" id="{F6635246-8F2E-9833-8BAD-66D22C17B6E7}"/>
            </a:ext>
          </a:extLst>
        </xdr:cNvPr>
        <xdr:cNvSpPr/>
      </xdr:nvSpPr>
      <xdr:spPr>
        <a:xfrm>
          <a:off x="304800" y="5461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Definir meta ahorro</a:t>
          </a:r>
        </a:p>
      </xdr:txBody>
    </xdr:sp>
    <xdr:clientData/>
  </xdr:twoCellAnchor>
  <xdr:twoCellAnchor>
    <xdr:from>
      <xdr:col>2</xdr:col>
      <xdr:colOff>298450</xdr:colOff>
      <xdr:row>26</xdr:row>
      <xdr:rowOff>174625</xdr:rowOff>
    </xdr:from>
    <xdr:to>
      <xdr:col>4</xdr:col>
      <xdr:colOff>88900</xdr:colOff>
      <xdr:row>29</xdr:row>
      <xdr:rowOff>136525</xdr:rowOff>
    </xdr:to>
    <xdr:sp macro="[0]!Pres_ConfigurarMetaCategoria" textlink="">
      <xdr:nvSpPr>
        <xdr:cNvPr id="37" name="btnPanelMetaCategoria">
          <a:extLst>
            <a:ext uri="{FF2B5EF4-FFF2-40B4-BE49-F238E27FC236}">
              <a16:creationId xmlns:a16="http://schemas.microsoft.com/office/drawing/2014/main" id="{DE773B7F-6623-ECC3-7365-7524BCB6707B}"/>
            </a:ext>
          </a:extLst>
        </xdr:cNvPr>
        <xdr:cNvSpPr/>
      </xdr:nvSpPr>
      <xdr:spPr>
        <a:xfrm>
          <a:off x="2794000" y="5461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Meta por categoria</a:t>
          </a:r>
        </a:p>
      </xdr:txBody>
    </xdr:sp>
    <xdr:clientData/>
  </xdr:twoCellAnchor>
  <xdr:twoCellAnchor>
    <xdr:from>
      <xdr:col>0</xdr:col>
      <xdr:colOff>304800</xdr:colOff>
      <xdr:row>30</xdr:row>
      <xdr:rowOff>174625</xdr:rowOff>
    </xdr:from>
    <xdr:to>
      <xdr:col>2</xdr:col>
      <xdr:colOff>95250</xdr:colOff>
      <xdr:row>33</xdr:row>
      <xdr:rowOff>136525</xdr:rowOff>
    </xdr:to>
    <xdr:sp macro="[0]!MostrarFormularioInversiones" textlink="">
      <xdr:nvSpPr>
        <xdr:cNvPr id="38" name="btnPanelInversion">
          <a:extLst>
            <a:ext uri="{FF2B5EF4-FFF2-40B4-BE49-F238E27FC236}">
              <a16:creationId xmlns:a16="http://schemas.microsoft.com/office/drawing/2014/main" id="{1D13A33D-1737-1B14-C9C4-D060E887C845}"/>
            </a:ext>
          </a:extLst>
        </xdr:cNvPr>
        <xdr:cNvSpPr/>
      </xdr:nvSpPr>
      <xdr:spPr>
        <a:xfrm>
          <a:off x="304800" y="6223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Registrar inversion</a:t>
          </a:r>
        </a:p>
      </xdr:txBody>
    </xdr:sp>
    <xdr:clientData/>
  </xdr:twoCellAnchor>
  <xdr:twoCellAnchor>
    <xdr:from>
      <xdr:col>2</xdr:col>
      <xdr:colOff>298450</xdr:colOff>
      <xdr:row>30</xdr:row>
      <xdr:rowOff>174625</xdr:rowOff>
    </xdr:from>
    <xdr:to>
      <xdr:col>4</xdr:col>
      <xdr:colOff>88900</xdr:colOff>
      <xdr:row>33</xdr:row>
      <xdr:rowOff>136525</xdr:rowOff>
    </xdr:to>
    <xdr:sp macro="[0]!Pres_ConfigurarMetaCuenta" textlink="">
      <xdr:nvSpPr>
        <xdr:cNvPr id="39" name="btnPanelMetaCuenta">
          <a:extLst>
            <a:ext uri="{FF2B5EF4-FFF2-40B4-BE49-F238E27FC236}">
              <a16:creationId xmlns:a16="http://schemas.microsoft.com/office/drawing/2014/main" id="{0305D545-94FC-DB0D-486C-412EA82F5755}"/>
            </a:ext>
          </a:extLst>
        </xdr:cNvPr>
        <xdr:cNvSpPr/>
      </xdr:nvSpPr>
      <xdr:spPr>
        <a:xfrm>
          <a:off x="2794000" y="6223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Meta por cuenta</a:t>
          </a:r>
        </a:p>
      </xdr:txBody>
    </xdr:sp>
    <xdr:clientData/>
  </xdr:twoCellAnchor>
  <xdr:twoCellAnchor>
    <xdr:from>
      <xdr:col>0</xdr:col>
      <xdr:colOff>304800</xdr:colOff>
      <xdr:row>34</xdr:row>
      <xdr:rowOff>174625</xdr:rowOff>
    </xdr:from>
    <xdr:to>
      <xdr:col>2</xdr:col>
      <xdr:colOff>95250</xdr:colOff>
      <xdr:row>37</xdr:row>
      <xdr:rowOff>136525</xdr:rowOff>
    </xdr:to>
    <xdr:sp macro="[0]!Pres_ConfigurarMetaMedioPago" textlink="">
      <xdr:nvSpPr>
        <xdr:cNvPr id="40" name="btnPanelMetaMedio">
          <a:extLst>
            <a:ext uri="{FF2B5EF4-FFF2-40B4-BE49-F238E27FC236}">
              <a16:creationId xmlns:a16="http://schemas.microsoft.com/office/drawing/2014/main" id="{60FAAE54-BBBC-861C-00B6-F5F2756EBF37}"/>
            </a:ext>
          </a:extLst>
        </xdr:cNvPr>
        <xdr:cNvSpPr/>
      </xdr:nvSpPr>
      <xdr:spPr>
        <a:xfrm>
          <a:off x="304800" y="6985000"/>
          <a:ext cx="2286000" cy="533400"/>
        </a:xfrm>
        <a:prstGeom prst="roundRect">
          <a:avLst/>
        </a:prstGeom>
        <a:solidFill>
          <a:srgbClr val="1F4E79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000" b="1">
              <a:solidFill>
                <a:srgbClr val="FFFFFF"/>
              </a:solidFill>
            </a:rPr>
            <a:t>Meta por medio pago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Gastos" displayName="Gastos" ref="B3:P28" totalsRowCount="1" headerRowDxfId="64" headerRowBorderDxfId="63">
  <autoFilter ref="B3:P27" xr:uid="{00000000-0009-0000-0100-000001000000}"/>
  <tableColumns count="15">
    <tableColumn id="15" xr3:uid="{00000000-0010-0000-0100-00000F000000}" name="Categoría" totalsRowLabel="Total" dataDxfId="62"/>
    <tableColumn id="1" xr3:uid="{00000000-0010-0000-0100-000001000000}" name="Subcategoría" dataDxfId="61"/>
    <tableColumn id="2" xr3:uid="{00000000-0010-0000-0100-000002000000}" name="Ene" totalsRowFunction="sum" dataDxfId="60" totalsRowDxfId="59" dataCellStyle="Moneda [0]"/>
    <tableColumn id="3" xr3:uid="{00000000-0010-0000-0100-000003000000}" name="Feb" totalsRowFunction="sum" dataDxfId="58" totalsRowDxfId="57" dataCellStyle="Moneda [0]"/>
    <tableColumn id="4" xr3:uid="{00000000-0010-0000-0100-000004000000}" name="Marzo" totalsRowFunction="sum" dataDxfId="56" totalsRowDxfId="55" dataCellStyle="Moneda [0]"/>
    <tableColumn id="5" xr3:uid="{00000000-0010-0000-0100-000005000000}" name="Abril" totalsRowFunction="sum" dataDxfId="54" totalsRowDxfId="53" dataCellStyle="Moneda [0]"/>
    <tableColumn id="6" xr3:uid="{00000000-0010-0000-0100-000006000000}" name="Mayo" totalsRowFunction="sum" dataDxfId="52" totalsRowDxfId="51" dataCellStyle="Moneda [0]"/>
    <tableColumn id="7" xr3:uid="{00000000-0010-0000-0100-000007000000}" name="Junio" totalsRowFunction="sum" dataDxfId="50" totalsRowDxfId="49" dataCellStyle="Moneda [0]"/>
    <tableColumn id="8" xr3:uid="{00000000-0010-0000-0100-000008000000}" name="Julio" totalsRowFunction="sum" dataDxfId="48" totalsRowDxfId="47" dataCellStyle="Moneda [0]"/>
    <tableColumn id="9" xr3:uid="{00000000-0010-0000-0100-000009000000}" name="Ago" totalsRowFunction="sum" dataDxfId="46" totalsRowDxfId="45" dataCellStyle="Moneda [0]"/>
    <tableColumn id="10" xr3:uid="{00000000-0010-0000-0100-00000A000000}" name="Sept" totalsRowFunction="sum" dataDxfId="44" totalsRowDxfId="43" dataCellStyle="Moneda [0]"/>
    <tableColumn id="11" xr3:uid="{00000000-0010-0000-0100-00000B000000}" name="Oct" totalsRowFunction="sum" dataDxfId="42" totalsRowDxfId="41" dataCellStyle="Moneda [0]"/>
    <tableColumn id="12" xr3:uid="{00000000-0010-0000-0100-00000C000000}" name="Nov" totalsRowFunction="sum" dataDxfId="40" totalsRowDxfId="39" dataCellStyle="Moneda [0]"/>
    <tableColumn id="13" xr3:uid="{00000000-0010-0000-0100-00000D000000}" name="Dic" totalsRowFunction="sum" dataDxfId="38" totalsRowDxfId="37" dataCellStyle="Moneda [0]"/>
    <tableColumn id="14" xr3:uid="{00000000-0010-0000-0100-00000E000000}" name="Año" totalsRowFunction="sum" dataDxfId="36" totalsRowDxfId="35" dataCellStyle="Moneda [0]"/>
  </tableColumns>
  <tableStyleInfo name="Expense" showFirstColumn="0" showLastColumn="0" showRowStripes="1" showColumnStripes="0"/>
  <extLst>
    <ext xmlns:x14="http://schemas.microsoft.com/office/spreadsheetml/2009/9/main" uri="{504A1905-F514-4f6f-8877-14C23A59335A}">
      <x14:table altTextSummary="Escriba los gastos de cada mes y las categorías en esta tabla. Los gastos anuales se calculan automáticamente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B6D6AE-86E5-49B6-81FF-5227DD5A6D0D}" name="tblMovimientos" displayName="tblMovimientos" ref="A1:P2" insertRow="1" totalsRowShown="0" headerRowDxfId="1" dataDxfId="0">
  <autoFilter ref="A1:P2" xr:uid="{14B6D6AE-86E5-49B6-81FF-5227DD5A6D0D}"/>
  <tableColumns count="16">
    <tableColumn id="1" xr3:uid="{BE49FCB7-478B-42B1-825D-3CA5648C4106}" name="IDMovimiento" dataDxfId="17"/>
    <tableColumn id="2" xr3:uid="{4D7BB9CE-464D-4730-9248-6D18EA5547CD}" name="Fecha" dataDxfId="16"/>
    <tableColumn id="3" xr3:uid="{16810ACB-A952-4510-A097-83C8CB8ECBE1}" name="TipoMovimiento" dataDxfId="15"/>
    <tableColumn id="4" xr3:uid="{E6BAC040-242E-474A-B5F9-2DBB65B6EA02}" name="CategoriaID" dataDxfId="14"/>
    <tableColumn id="5" xr3:uid="{18E85BF2-6644-416B-AE51-7E3548A4AC95}" name="Categoria" dataDxfId="13"/>
    <tableColumn id="6" xr3:uid="{90AE183F-00F5-4FCA-BCD8-3B664F5EDBF1}" name="SubcategoriaID" dataDxfId="12"/>
    <tableColumn id="7" xr3:uid="{D5A15189-D379-4D43-B522-4F5C8BEA0385}" name="Subcategoria" dataDxfId="11"/>
    <tableColumn id="8" xr3:uid="{C29134D4-4D70-4F75-9BBF-318E1CF6DB7B}" name="Monto" dataDxfId="10"/>
    <tableColumn id="9" xr3:uid="{9E15B1F5-76B8-471F-80F8-6985005B9C9C}" name="Descripcion" dataDxfId="9"/>
    <tableColumn id="10" xr3:uid="{2F50E2F2-4FCF-439A-A612-1A439DD7EE36}" name="MedioPago" dataDxfId="8"/>
    <tableColumn id="11" xr3:uid="{4654502B-2D3A-4825-A428-99F89802B3FB}" name="Cuenta" dataDxfId="7"/>
    <tableColumn id="12" xr3:uid="{A9B5D163-26EF-491A-B1B8-D5ED44B4C72D}" name="EsRecurrente" dataDxfId="6"/>
    <tableColumn id="13" xr3:uid="{47A895FD-1FC8-4237-93E0-63C8A609465F}" name="Mes" dataDxfId="5"/>
    <tableColumn id="14" xr3:uid="{D196D9E1-327D-4E3D-8116-4909EA8C0678}" name="Anio" dataDxfId="4"/>
    <tableColumn id="15" xr3:uid="{486220BC-EFDB-459D-8BEA-A526B356DDD2}" name="UsuarioRegistro" dataDxfId="3"/>
    <tableColumn id="16" xr3:uid="{FE8DB035-3982-4C86-A874-DD1B3B918A2F}" name="FechaRegistro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B93E58-B3B5-4113-9786-CC7F4EC4DFA3}" name="tblPresupuesto" displayName="tblPresupuesto" ref="A1:H2" insertRow="1" totalsRowShown="0">
  <autoFilter ref="A1:H2" xr:uid="{1DB93E58-B3B5-4113-9786-CC7F4EC4DFA3}"/>
  <tableColumns count="8">
    <tableColumn id="1" xr3:uid="{9D44642D-2555-466A-95E5-76E15F08228B}" name="IDPresupuesto"/>
    <tableColumn id="2" xr3:uid="{3EDE7014-CC07-4215-B35B-275DB4ABADED}" name="Categoria"/>
    <tableColumn id="3" xr3:uid="{536A2E98-C9CE-4C67-979B-E5FEFDF1E40B}" name="Subcategoria"/>
    <tableColumn id="4" xr3:uid="{650BFA5D-34D7-41AE-9946-BBA4475F0060}" name="Mes" dataDxfId="25"/>
    <tableColumn id="5" xr3:uid="{C53A04C7-8A3F-4642-8164-8A1A96537093}" name="Anio" dataDxfId="24"/>
    <tableColumn id="6" xr3:uid="{F696B5C6-EC77-4BE0-B2FF-198AB7164FF8}" name="MontoPresupuestado" dataDxfId="23"/>
    <tableColumn id="7" xr3:uid="{7564712D-3E78-46FA-AC2E-39BD48211530}" name="UsuarioRegistro"/>
    <tableColumn id="8" xr3:uid="{00DC3048-E7C4-4638-9CF6-3814B12481F3}" name="FechaRegistro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7C570F1-36FE-4C85-8BA6-F988A358771B}" name="tblInversiones" displayName="tblInversiones" ref="A1:L2" insertRow="1" totalsRowShown="0">
  <autoFilter ref="A1:L2" xr:uid="{F7C570F1-36FE-4C85-8BA6-F988A358771B}"/>
  <tableColumns count="12">
    <tableColumn id="1" xr3:uid="{CADB3BB5-A611-4C39-A3DC-0E530D2D4363}" name="IDInversion"/>
    <tableColumn id="2" xr3:uid="{E214E592-642C-47A1-B876-A5789C9196A2}" name="Fecha" dataDxfId="21"/>
    <tableColumn id="3" xr3:uid="{CC5701E9-085F-41F8-80DE-AC93BFC4763F}" name="Plataforma"/>
    <tableColumn id="4" xr3:uid="{D3E85133-88E6-4B7A-8D68-933703DFA147}" name="TipoMovimiento"/>
    <tableColumn id="5" xr3:uid="{8E577335-ED19-4813-9216-64BD4E787D70}" name="Monto" dataDxfId="20"/>
    <tableColumn id="6" xr3:uid="{5EA0DA6E-9D83-48FF-956D-8B2984688E2C}" name="SaldoAcumulado" dataDxfId="19"/>
    <tableColumn id="7" xr3:uid="{72850ABF-9013-489D-93AC-E85DD3077E0C}" name="Comentario"/>
    <tableColumn id="8" xr3:uid="{783BF104-07A6-4486-A858-DA2D100C55E3}" name="Mes"/>
    <tableColumn id="9" xr3:uid="{C00CF157-269E-48A4-85F7-A42DA502F033}" name="Anio"/>
    <tableColumn id="10" xr3:uid="{83AB2EEB-C92A-499C-8BA1-BD53249DC213}" name="UsuarioRegistro"/>
    <tableColumn id="11" xr3:uid="{1E0B3911-A4D6-49AC-BC84-BE18993C01CC}" name="FechaRegistro" dataDxfId="18"/>
    <tableColumn id="12" xr3:uid="{C16AC6E7-ABBB-4638-A509-C8EA4AE1A20B}" name="IDMovimientoRelacion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26C895-D422-486B-8F0F-9174B39BEEE0}" name="tblCierresMensuales" displayName="tblCierresMensuales" ref="A1:N2" totalsRowShown="0">
  <autoFilter ref="A1:N2" xr:uid="{DD26C895-D422-486B-8F0F-9174B39BEEE0}"/>
  <tableColumns count="14">
    <tableColumn id="1" xr3:uid="{99C9714A-8A28-4000-8BBE-9EDB7DF4819B}" name="IDCierre"/>
    <tableColumn id="2" xr3:uid="{53C6CDE7-B7E9-4086-85F9-E5FF6CB9FE93}" name="Anio" dataDxfId="34"/>
    <tableColumn id="3" xr3:uid="{F833829A-BD87-4A91-B2AE-79BECB50236C}" name="Mes" dataDxfId="33"/>
    <tableColumn id="4" xr3:uid="{89AE13DA-285D-43A8-9622-23193B6211B7}" name="Periodo"/>
    <tableColumn id="5" xr3:uid="{3795864F-23E6-4074-9F79-49D8F317EEC2}" name="IngresosMes" dataDxfId="32"/>
    <tableColumn id="6" xr3:uid="{DAE6F852-20F4-42DC-8717-9B6208724338}" name="GastosMes" dataDxfId="31"/>
    <tableColumn id="7" xr3:uid="{AC3421E6-519D-44E8-8322-753B5EA21992}" name="BalanceMes" dataDxfId="30"/>
    <tableColumn id="8" xr3:uid="{08444A01-233A-4C39-813F-05EC498B202A}" name="MetaAhorro" dataDxfId="29"/>
    <tableColumn id="9" xr3:uid="{9A2BC345-34B2-42FF-9D9D-61FAA3DAAB10}" name="CumplimientoMeta" dataDxfId="28"/>
    <tableColumn id="10" xr3:uid="{3A32445B-AF23-40E0-A926-14481CD52658}" name="EstadoMeta"/>
    <tableColumn id="11" xr3:uid="{E95E0E38-8CE1-45C0-A447-EBAF5B0CC47F}" name="TopSobreGasto"/>
    <tableColumn id="12" xr3:uid="{87FD9B5E-0A9B-4C1D-990A-C042C4FB99C8}" name="TopSobreMonto" dataDxfId="27"/>
    <tableColumn id="13" xr3:uid="{E2E2332B-3066-4FD0-B059-B60B1D060D81}" name="FechaCierre" dataDxfId="26"/>
    <tableColumn id="14" xr3:uid="{B9C3FA97-3735-44B8-9159-6611BEE59B34}" name="UsuarioCierr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925A3C-B19D-4012-A356-FB5BD82B870A}" name="tblAuditoria" displayName="tblAuditoria" ref="A1:H2" insertRow="1" totalsRowShown="0">
  <autoFilter ref="A1:H2" xr:uid="{AE925A3C-B19D-4012-A356-FB5BD82B870A}"/>
  <tableColumns count="8">
    <tableColumn id="1" xr3:uid="{1A74AAC6-E3EB-4BFD-B887-08CB2A61E07F}" name="IDAuditoria"/>
    <tableColumn id="2" xr3:uid="{9719EE54-F314-4390-8DFC-F7F79F7155A4}" name="FechaEvento"/>
    <tableColumn id="3" xr3:uid="{D3C1E9DF-D385-4513-80F6-7E9E293F77C0}" name="Usuario"/>
    <tableColumn id="4" xr3:uid="{840B80A5-B83C-4A20-9355-85B345EAF594}" name="Accion"/>
    <tableColumn id="5" xr3:uid="{6A4CB47B-D666-4097-AEED-F17FBC2F2FAC}" name="Entidad"/>
    <tableColumn id="6" xr3:uid="{1343E6F4-2B25-4FDC-8E53-1E83174838F5}" name="IDRegistro"/>
    <tableColumn id="7" xr3:uid="{93714855-F9F1-4BD3-98CB-69BEB3105F8F}" name="Detalle"/>
    <tableColumn id="8" xr3:uid="{053397AE-A776-4E62-9349-7427365F61B2}" name="Mo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E2DC"/>
      </a:hlink>
      <a:folHlink>
        <a:srgbClr val="00918A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0000"/>
                <a:satMod val="150000"/>
              </a:schemeClr>
            </a:gs>
            <a:gs pos="23000">
              <a:schemeClr val="phClr">
                <a:tint val="98000"/>
                <a:shade val="87000"/>
                <a:satMod val="105000"/>
              </a:schemeClr>
            </a:gs>
            <a:gs pos="35000">
              <a:schemeClr val="phClr">
                <a:shade val="70000"/>
              </a:schemeClr>
            </a:gs>
            <a:gs pos="58000">
              <a:schemeClr val="phClr">
                <a:shade val="49000"/>
                <a:satMod val="120000"/>
              </a:schemeClr>
            </a:gs>
            <a:gs pos="80000">
              <a:schemeClr val="phClr">
                <a:shade val="50000"/>
                <a:satMod val="120000"/>
              </a:schemeClr>
            </a:gs>
            <a:gs pos="90000">
              <a:schemeClr val="phClr">
                <a:shade val="57000"/>
                <a:satMod val="130000"/>
              </a:schemeClr>
            </a:gs>
            <a:gs pos="100000">
              <a:schemeClr val="phClr">
                <a:shade val="76000"/>
                <a:satMod val="150000"/>
              </a:schemeClr>
            </a:gs>
          </a:gsLst>
          <a:lin ang="5400000" scaled="1"/>
        </a:gradFill>
      </a:fillStyleLst>
      <a:lnStyleLst>
        <a:ln w="317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12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7"/>
    <pageSetUpPr fitToPage="1"/>
  </sheetPr>
  <dimension ref="A1:D20"/>
  <sheetViews>
    <sheetView showGridLines="0" workbookViewId="0">
      <pane ySplit="4" topLeftCell="A5" activePane="bottomLeft" state="frozen"/>
      <selection pane="bottomLeft" activeCell="D7" sqref="D7"/>
    </sheetView>
  </sheetViews>
  <sheetFormatPr baseColWidth="10" defaultColWidth="9.140625" defaultRowHeight="30" customHeight="1" x14ac:dyDescent="0.25"/>
  <cols>
    <col min="1" max="1" width="13" bestFit="1" customWidth="1"/>
    <col min="2" max="2" width="8.42578125" style="13" bestFit="1" customWidth="1"/>
    <col min="3" max="3" width="6.85546875" style="13" bestFit="1" customWidth="1"/>
    <col min="4" max="4" width="7.85546875" style="13" bestFit="1" customWidth="1"/>
    <col min="5" max="5" width="13.28515625" bestFit="1" customWidth="1"/>
    <col min="6" max="6" width="15.85546875" bestFit="1" customWidth="1"/>
    <col min="7" max="10" width="14" bestFit="1" customWidth="1"/>
    <col min="11" max="11" width="14.28515625" bestFit="1" customWidth="1"/>
    <col min="12" max="14" width="13.5703125" bestFit="1" customWidth="1"/>
    <col min="15" max="15" width="15.5703125" bestFit="1" customWidth="1"/>
    <col min="16" max="16" width="2.7109375" customWidth="1"/>
  </cols>
  <sheetData>
    <row r="1" spans="1:4" ht="39.950000000000003" customHeight="1" x14ac:dyDescent="0.25">
      <c r="A1" t="s">
        <v>76</v>
      </c>
    </row>
    <row r="2" spans="1:4" ht="15" customHeight="1" x14ac:dyDescent="0.25">
      <c r="A2" t="s">
        <v>77</v>
      </c>
      <c r="B2" s="13">
        <v>2026</v>
      </c>
    </row>
    <row r="4" spans="1:4" ht="30" customHeight="1" x14ac:dyDescent="0.25">
      <c r="A4" t="s">
        <v>52</v>
      </c>
      <c r="B4" s="13" t="s">
        <v>0</v>
      </c>
      <c r="C4" s="13" t="s">
        <v>16</v>
      </c>
      <c r="D4" s="13" t="s">
        <v>78</v>
      </c>
    </row>
    <row r="5" spans="1:4" ht="30" customHeight="1" x14ac:dyDescent="0.25">
      <c r="A5" t="s">
        <v>79</v>
      </c>
      <c r="B5" s="13">
        <v>0</v>
      </c>
      <c r="C5" s="13">
        <v>0</v>
      </c>
      <c r="D5" s="13">
        <v>0</v>
      </c>
    </row>
    <row r="6" spans="1:4" ht="30" customHeight="1" x14ac:dyDescent="0.25">
      <c r="A6" t="s">
        <v>80</v>
      </c>
      <c r="B6" s="13">
        <v>0</v>
      </c>
      <c r="C6" s="13">
        <v>0</v>
      </c>
      <c r="D6" s="13">
        <v>0</v>
      </c>
    </row>
    <row r="7" spans="1:4" ht="30" customHeight="1" x14ac:dyDescent="0.25">
      <c r="A7" t="s">
        <v>81</v>
      </c>
      <c r="B7" s="13">
        <v>0</v>
      </c>
      <c r="C7" s="13">
        <v>0</v>
      </c>
      <c r="D7" s="13">
        <v>0</v>
      </c>
    </row>
    <row r="8" spans="1:4" ht="30" customHeight="1" x14ac:dyDescent="0.25">
      <c r="A8" t="s">
        <v>82</v>
      </c>
      <c r="B8" s="13">
        <v>0</v>
      </c>
      <c r="C8" s="13">
        <v>0</v>
      </c>
      <c r="D8" s="13">
        <v>0</v>
      </c>
    </row>
    <row r="9" spans="1:4" ht="30" customHeight="1" x14ac:dyDescent="0.25">
      <c r="A9" t="s">
        <v>83</v>
      </c>
      <c r="B9" s="13">
        <v>0</v>
      </c>
      <c r="C9" s="13">
        <v>0</v>
      </c>
      <c r="D9" s="13">
        <v>0</v>
      </c>
    </row>
    <row r="10" spans="1:4" ht="30" customHeight="1" x14ac:dyDescent="0.25">
      <c r="A10" t="s">
        <v>84</v>
      </c>
      <c r="B10" s="13">
        <v>0</v>
      </c>
      <c r="C10" s="13">
        <v>0</v>
      </c>
      <c r="D10" s="13">
        <v>0</v>
      </c>
    </row>
    <row r="11" spans="1:4" ht="30" customHeight="1" x14ac:dyDescent="0.25">
      <c r="A11" t="s">
        <v>85</v>
      </c>
      <c r="B11" s="13">
        <v>0</v>
      </c>
      <c r="C11" s="13">
        <v>0</v>
      </c>
      <c r="D11" s="13">
        <v>0</v>
      </c>
    </row>
    <row r="12" spans="1:4" ht="30" customHeight="1" x14ac:dyDescent="0.25">
      <c r="A12" t="s">
        <v>86</v>
      </c>
      <c r="B12" s="13">
        <v>0</v>
      </c>
      <c r="C12" s="13">
        <v>0</v>
      </c>
      <c r="D12" s="13">
        <v>0</v>
      </c>
    </row>
    <row r="13" spans="1:4" ht="30" customHeight="1" x14ac:dyDescent="0.25">
      <c r="A13" t="s">
        <v>87</v>
      </c>
      <c r="B13" s="13">
        <v>0</v>
      </c>
      <c r="C13" s="13">
        <v>0</v>
      </c>
      <c r="D13" s="13">
        <v>0</v>
      </c>
    </row>
    <row r="14" spans="1:4" ht="30" customHeight="1" x14ac:dyDescent="0.25">
      <c r="A14" t="s">
        <v>88</v>
      </c>
      <c r="B14" s="13">
        <v>0</v>
      </c>
      <c r="C14" s="13">
        <v>0</v>
      </c>
      <c r="D14" s="13">
        <v>0</v>
      </c>
    </row>
    <row r="15" spans="1:4" ht="30" customHeight="1" x14ac:dyDescent="0.25">
      <c r="A15" t="s">
        <v>89</v>
      </c>
      <c r="B15" s="13">
        <v>0</v>
      </c>
      <c r="C15" s="13">
        <v>0</v>
      </c>
      <c r="D15" s="13">
        <v>0</v>
      </c>
    </row>
    <row r="16" spans="1:4" ht="30" customHeight="1" x14ac:dyDescent="0.25">
      <c r="A16" t="s">
        <v>90</v>
      </c>
      <c r="B16" s="13">
        <v>0</v>
      </c>
      <c r="C16" s="13">
        <v>0</v>
      </c>
      <c r="D16" s="13">
        <v>0</v>
      </c>
    </row>
    <row r="18" spans="1:2" ht="30" customHeight="1" x14ac:dyDescent="0.25">
      <c r="A18" t="s">
        <v>91</v>
      </c>
      <c r="B18" s="13">
        <v>0</v>
      </c>
    </row>
    <row r="19" spans="1:2" ht="30" customHeight="1" x14ac:dyDescent="0.25">
      <c r="A19" t="s">
        <v>92</v>
      </c>
      <c r="B19" s="13">
        <v>0</v>
      </c>
    </row>
    <row r="20" spans="1:2" ht="30" customHeight="1" x14ac:dyDescent="0.25">
      <c r="A20" t="s">
        <v>93</v>
      </c>
      <c r="B20" s="13">
        <v>0</v>
      </c>
    </row>
  </sheetData>
  <phoneticPr fontId="0" type="noConversion"/>
  <printOptions horizontalCentered="1"/>
  <pageMargins left="0.5" right="0.5" top="0.75" bottom="0.75" header="0.5" footer="0.5"/>
  <pageSetup paperSize="9" scale="71" fitToHeight="0" orientation="landscape" horizontalDpi="200" verticalDpi="200" r:id="rId1"/>
  <headerFooter differentFirst="1" alignWithMargins="0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7"/>
    <pageSetUpPr fitToPage="1"/>
  </sheetPr>
  <dimension ref="A1:P28"/>
  <sheetViews>
    <sheetView showGridLines="0" zoomScale="80" zoomScaleNormal="80" workbookViewId="0">
      <pane ySplit="1" topLeftCell="A2" activePane="bottomLeft" state="frozen"/>
      <selection activeCell="C16" sqref="C16"/>
      <selection pane="bottomLeft" activeCell="J7" sqref="J7"/>
    </sheetView>
  </sheetViews>
  <sheetFormatPr baseColWidth="10" defaultColWidth="9.140625" defaultRowHeight="30" customHeight="1" x14ac:dyDescent="0.25"/>
  <cols>
    <col min="1" max="1" width="2.7109375" customWidth="1"/>
    <col min="2" max="3" width="21.7109375" customWidth="1"/>
    <col min="4" max="15" width="12.5703125" customWidth="1"/>
    <col min="16" max="16" width="13" bestFit="1" customWidth="1"/>
    <col min="17" max="17" width="2.7109375" customWidth="1"/>
  </cols>
  <sheetData>
    <row r="1" spans="1:16" ht="39.950000000000003" customHeight="1" x14ac:dyDescent="0.25">
      <c r="A1" t="s">
        <v>63</v>
      </c>
      <c r="B1" s="48" t="s">
        <v>29</v>
      </c>
      <c r="C1" s="48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6" ht="30" customHeight="1" thickBot="1" x14ac:dyDescent="0.3">
      <c r="B2" s="2" t="s">
        <v>16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30" customHeight="1" thickBot="1" x14ac:dyDescent="0.3">
      <c r="B3" s="3" t="s">
        <v>1</v>
      </c>
      <c r="C3" s="3" t="s">
        <v>19</v>
      </c>
      <c r="D3" s="4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</row>
    <row r="4" spans="1:16" ht="30" customHeight="1" x14ac:dyDescent="0.25">
      <c r="B4" t="s">
        <v>23</v>
      </c>
      <c r="C4" s="9" t="s">
        <v>26</v>
      </c>
      <c r="D4" s="5">
        <v>224124</v>
      </c>
      <c r="E4" s="5">
        <v>224124</v>
      </c>
      <c r="F4" s="5">
        <v>224124</v>
      </c>
      <c r="G4" s="5">
        <v>224124</v>
      </c>
      <c r="H4" s="5">
        <v>224124</v>
      </c>
      <c r="I4" s="5">
        <v>224124</v>
      </c>
      <c r="J4" s="5">
        <v>224124</v>
      </c>
      <c r="K4" s="5">
        <v>224124</v>
      </c>
      <c r="L4" s="5">
        <v>224124</v>
      </c>
      <c r="M4" s="5">
        <v>224124</v>
      </c>
      <c r="N4" s="5">
        <v>224124</v>
      </c>
      <c r="O4" s="5">
        <v>224124</v>
      </c>
      <c r="P4" s="7">
        <f>SUM(Gasto!$D4:$N4)</f>
        <v>2465364</v>
      </c>
    </row>
    <row r="5" spans="1:16" ht="30" customHeight="1" x14ac:dyDescent="0.25">
      <c r="B5" t="s">
        <v>17</v>
      </c>
      <c r="C5" s="9" t="s">
        <v>27</v>
      </c>
      <c r="D5" s="5">
        <v>154784</v>
      </c>
      <c r="E5" s="5">
        <v>154784</v>
      </c>
      <c r="F5" s="5">
        <v>154784</v>
      </c>
      <c r="G5" s="5">
        <v>154784</v>
      </c>
      <c r="H5" s="5">
        <v>154784</v>
      </c>
      <c r="I5" s="5">
        <v>154784</v>
      </c>
      <c r="J5" s="5">
        <v>154784</v>
      </c>
      <c r="K5" s="5">
        <v>154784</v>
      </c>
      <c r="L5" s="5">
        <v>154784</v>
      </c>
      <c r="M5" s="5">
        <v>154784</v>
      </c>
      <c r="N5" s="5">
        <v>154784</v>
      </c>
      <c r="O5" s="5">
        <v>154784</v>
      </c>
      <c r="P5" s="7">
        <f>SUM(Gasto!$D5:$N5)</f>
        <v>1702624</v>
      </c>
    </row>
    <row r="6" spans="1:16" ht="30" customHeight="1" x14ac:dyDescent="0.25">
      <c r="B6" t="s">
        <v>24</v>
      </c>
      <c r="C6" s="9" t="s">
        <v>28</v>
      </c>
      <c r="D6" s="5">
        <v>29128</v>
      </c>
      <c r="E6" s="5">
        <v>29128</v>
      </c>
      <c r="F6" s="5">
        <v>29128</v>
      </c>
      <c r="G6" s="5">
        <v>90837</v>
      </c>
      <c r="H6" s="5">
        <v>29128</v>
      </c>
      <c r="I6" s="5">
        <v>90837</v>
      </c>
      <c r="J6" s="5">
        <v>29128</v>
      </c>
      <c r="K6" s="5">
        <v>29128</v>
      </c>
      <c r="L6" s="5">
        <v>90837</v>
      </c>
      <c r="M6" s="5">
        <v>29128</v>
      </c>
      <c r="N6" s="5">
        <v>29128</v>
      </c>
      <c r="O6" s="5">
        <v>90837</v>
      </c>
      <c r="P6" s="7">
        <f>SUM(Gasto!$D6:$N6)</f>
        <v>505535</v>
      </c>
    </row>
    <row r="7" spans="1:16" ht="30" customHeight="1" x14ac:dyDescent="0.25">
      <c r="B7" t="s">
        <v>20</v>
      </c>
      <c r="C7" t="s">
        <v>21</v>
      </c>
      <c r="D7" s="6">
        <v>346084</v>
      </c>
      <c r="E7" s="6">
        <v>346084</v>
      </c>
      <c r="F7" s="6">
        <v>346084</v>
      </c>
      <c r="G7" s="6">
        <v>346084</v>
      </c>
      <c r="H7" s="6">
        <v>346084</v>
      </c>
      <c r="I7" s="6">
        <v>346084</v>
      </c>
      <c r="J7" s="6">
        <v>346084</v>
      </c>
      <c r="K7" s="6">
        <v>346084</v>
      </c>
      <c r="L7" s="6">
        <v>0</v>
      </c>
      <c r="M7" s="6">
        <v>0</v>
      </c>
      <c r="N7" s="6">
        <v>0</v>
      </c>
      <c r="O7" s="6">
        <v>0</v>
      </c>
      <c r="P7" s="7">
        <f>SUM(Gasto!$D7:$N7)</f>
        <v>2768672</v>
      </c>
    </row>
    <row r="8" spans="1:16" ht="30" customHeight="1" x14ac:dyDescent="0.25">
      <c r="B8" t="s">
        <v>20</v>
      </c>
      <c r="C8" t="s">
        <v>22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7">
        <f>SUM(Gasto!$D8:$N8)</f>
        <v>0</v>
      </c>
    </row>
    <row r="9" spans="1:16" ht="30" customHeight="1" x14ac:dyDescent="0.25">
      <c r="B9" s="8" t="s">
        <v>20</v>
      </c>
      <c r="C9" t="s">
        <v>39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7"/>
    </row>
    <row r="10" spans="1:16" ht="30" customHeight="1" x14ac:dyDescent="0.25">
      <c r="B10" t="s">
        <v>20</v>
      </c>
      <c r="C10" t="s">
        <v>34</v>
      </c>
      <c r="D10" s="5">
        <v>80000</v>
      </c>
      <c r="E10" s="5">
        <v>80000</v>
      </c>
      <c r="F10" s="5">
        <v>80000</v>
      </c>
      <c r="G10" s="5">
        <v>80000</v>
      </c>
      <c r="H10" s="5">
        <v>80000</v>
      </c>
      <c r="I10" s="5">
        <v>80000</v>
      </c>
      <c r="J10" s="5">
        <v>80000</v>
      </c>
      <c r="K10" s="5">
        <v>80000</v>
      </c>
      <c r="L10" s="5">
        <v>80000</v>
      </c>
      <c r="M10" s="5">
        <v>80000</v>
      </c>
      <c r="N10" s="5">
        <v>80000</v>
      </c>
      <c r="O10" s="5">
        <v>80000</v>
      </c>
      <c r="P10" s="7">
        <f>SUM(Gasto!$D10:$N10)</f>
        <v>880000</v>
      </c>
    </row>
    <row r="11" spans="1:16" ht="30" customHeight="1" x14ac:dyDescent="0.25">
      <c r="B11" t="s">
        <v>20</v>
      </c>
      <c r="C11" t="s">
        <v>30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7"/>
    </row>
    <row r="12" spans="1:16" ht="30" customHeight="1" x14ac:dyDescent="0.25">
      <c r="B12" t="s">
        <v>18</v>
      </c>
      <c r="C12" t="s">
        <v>36</v>
      </c>
      <c r="D12" s="5">
        <v>28139</v>
      </c>
      <c r="E12" s="5">
        <v>28139</v>
      </c>
      <c r="F12" s="5">
        <v>28139</v>
      </c>
      <c r="G12" s="5">
        <v>28139</v>
      </c>
      <c r="H12" s="5">
        <v>28139</v>
      </c>
      <c r="I12" s="5">
        <v>28139</v>
      </c>
      <c r="J12" s="5">
        <v>28139</v>
      </c>
      <c r="K12" s="5">
        <v>28139</v>
      </c>
      <c r="L12" s="5">
        <v>28139</v>
      </c>
      <c r="M12" s="5">
        <v>28139</v>
      </c>
      <c r="N12" s="5">
        <v>28139</v>
      </c>
      <c r="O12" s="5">
        <v>28139</v>
      </c>
      <c r="P12" s="7">
        <f>SUM(Gasto!$D12:$N12)</f>
        <v>309529</v>
      </c>
    </row>
    <row r="13" spans="1:16" ht="30" customHeight="1" x14ac:dyDescent="0.25">
      <c r="B13" t="s">
        <v>23</v>
      </c>
      <c r="C13" t="s">
        <v>25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7">
        <f>SUM(Gasto!$D13:$N13)</f>
        <v>0</v>
      </c>
    </row>
    <row r="14" spans="1:16" ht="30" customHeight="1" x14ac:dyDescent="0.25">
      <c r="B14" t="s">
        <v>20</v>
      </c>
      <c r="C14" t="s">
        <v>31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7">
        <f>SUM(Gasto!$D14:$N14)</f>
        <v>0</v>
      </c>
    </row>
    <row r="15" spans="1:16" ht="30" customHeight="1" x14ac:dyDescent="0.25">
      <c r="B15" t="s">
        <v>20</v>
      </c>
      <c r="C15" t="s">
        <v>32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7">
        <f>SUM(Gasto!$D15:$N15)</f>
        <v>0</v>
      </c>
    </row>
    <row r="16" spans="1:16" ht="30" customHeight="1" x14ac:dyDescent="0.25">
      <c r="B16" t="s">
        <v>20</v>
      </c>
      <c r="C16" t="s">
        <v>33</v>
      </c>
      <c r="D16" s="6">
        <v>189264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7">
        <f>SUM(Gasto!$D16:$N16)</f>
        <v>189264</v>
      </c>
    </row>
    <row r="17" spans="2:16" ht="30" customHeight="1" x14ac:dyDescent="0.25">
      <c r="B17" s="8" t="s">
        <v>20</v>
      </c>
      <c r="C17" t="s">
        <v>35</v>
      </c>
      <c r="D17" s="12">
        <v>309675</v>
      </c>
      <c r="E17" s="12">
        <v>309675</v>
      </c>
      <c r="F17" s="12">
        <v>309675</v>
      </c>
      <c r="G17" s="12">
        <v>309675</v>
      </c>
      <c r="H17" s="12">
        <v>309675</v>
      </c>
      <c r="I17" s="12">
        <v>309675</v>
      </c>
      <c r="J17" s="12">
        <v>309675</v>
      </c>
      <c r="K17" s="12">
        <v>309675</v>
      </c>
      <c r="L17" s="12">
        <v>309675</v>
      </c>
      <c r="M17" s="12">
        <v>309675</v>
      </c>
      <c r="N17" s="12">
        <v>309675</v>
      </c>
      <c r="O17" s="12">
        <v>309675</v>
      </c>
      <c r="P17" s="7">
        <f>SUM(Gasto!$D17:$N17)</f>
        <v>3406425</v>
      </c>
    </row>
    <row r="18" spans="2:16" ht="30" customHeight="1" x14ac:dyDescent="0.25">
      <c r="B18" s="8" t="s">
        <v>37</v>
      </c>
      <c r="C18" t="s">
        <v>38</v>
      </c>
      <c r="D18" s="5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>
        <f>SUM(Gasto!$D18:$N18)</f>
        <v>0</v>
      </c>
    </row>
    <row r="19" spans="2:16" ht="30" customHeight="1" x14ac:dyDescent="0.25">
      <c r="B19" s="8"/>
      <c r="D19" s="5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>
        <f>SUM(Gasto!$D19:$N19)</f>
        <v>0</v>
      </c>
    </row>
    <row r="20" spans="2:16" ht="30" customHeight="1" x14ac:dyDescent="0.25">
      <c r="B20" s="8"/>
      <c r="C20" s="8"/>
      <c r="D20" s="5"/>
      <c r="E20" s="6"/>
      <c r="F20" s="6"/>
      <c r="G20" s="6"/>
      <c r="H20" s="6"/>
      <c r="I20" s="6"/>
      <c r="J20" s="6"/>
      <c r="K20" s="6"/>
      <c r="L20" s="6"/>
      <c r="M20" s="6"/>
      <c r="N20" s="6"/>
      <c r="O20" s="10"/>
      <c r="P20" s="7">
        <f>SUM(Gasto!$D20:$N20)</f>
        <v>0</v>
      </c>
    </row>
    <row r="21" spans="2:16" ht="30" customHeight="1" x14ac:dyDescent="0.25">
      <c r="B21" s="8"/>
      <c r="C21" s="8"/>
      <c r="D21" s="5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7">
        <f>SUM(Gasto!$D21:$N21)</f>
        <v>0</v>
      </c>
    </row>
    <row r="22" spans="2:16" ht="30" customHeight="1" x14ac:dyDescent="0.25">
      <c r="B22" s="8"/>
      <c r="C22" s="8"/>
      <c r="D22" s="5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7">
        <f>SUM(Gasto!$D22:$N22)</f>
        <v>0</v>
      </c>
    </row>
    <row r="23" spans="2:16" ht="30" customHeight="1" x14ac:dyDescent="0.25">
      <c r="B23" s="8"/>
      <c r="C23" s="8"/>
      <c r="D23" s="5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7">
        <f>SUM(Gasto!$D23:$N23)</f>
        <v>0</v>
      </c>
    </row>
    <row r="24" spans="2:16" ht="30" customHeight="1" x14ac:dyDescent="0.25">
      <c r="B24" s="8"/>
      <c r="C24" s="8"/>
      <c r="D24" s="5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>
        <f>SUM(Gasto!$D24:$N24)</f>
        <v>0</v>
      </c>
    </row>
    <row r="25" spans="2:16" ht="30" customHeight="1" x14ac:dyDescent="0.25">
      <c r="B25" s="8"/>
      <c r="D25" s="5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>
        <f>SUM(Gasto!$D25:$N25)</f>
        <v>0</v>
      </c>
    </row>
    <row r="26" spans="2:16" ht="30" customHeight="1" x14ac:dyDescent="0.25">
      <c r="B26" s="8"/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</row>
    <row r="27" spans="2:16" ht="30" customHeight="1" x14ac:dyDescent="0.25">
      <c r="B27" s="8"/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</row>
    <row r="28" spans="2:16" ht="30" customHeight="1" x14ac:dyDescent="0.25">
      <c r="B28" t="s">
        <v>2</v>
      </c>
      <c r="D28" s="11">
        <f>SUBTOTAL(109,Gastos[Ene])</f>
        <v>1361198</v>
      </c>
      <c r="E28" s="11">
        <f>SUBTOTAL(109,Gastos[Feb])</f>
        <v>1171934</v>
      </c>
      <c r="F28" s="11">
        <f>SUBTOTAL(109,Gastos[Marzo])</f>
        <v>1171934</v>
      </c>
      <c r="G28" s="11">
        <f>SUBTOTAL(109,Gastos[Abril])</f>
        <v>1233643</v>
      </c>
      <c r="H28" s="11">
        <f>SUBTOTAL(109,Gastos[Mayo])</f>
        <v>1171934</v>
      </c>
      <c r="I28" s="11">
        <f>SUBTOTAL(109,Gastos[Junio])</f>
        <v>1233643</v>
      </c>
      <c r="J28" s="11">
        <f>SUBTOTAL(109,Gastos[Julio])</f>
        <v>1171934</v>
      </c>
      <c r="K28" s="11">
        <f>SUBTOTAL(109,Gastos[Ago])</f>
        <v>1171934</v>
      </c>
      <c r="L28" s="11">
        <f>SUBTOTAL(109,Gastos[Sept])</f>
        <v>887559</v>
      </c>
      <c r="M28" s="11">
        <f>SUBTOTAL(109,Gastos[Oct])</f>
        <v>825850</v>
      </c>
      <c r="N28" s="11">
        <f>SUBTOTAL(109,Gastos[Nov])</f>
        <v>825850</v>
      </c>
      <c r="O28" s="11">
        <f>SUBTOTAL(109,Gastos[Dic])</f>
        <v>887559</v>
      </c>
      <c r="P28" s="11">
        <f>SUBTOTAL(109,Gastos[Año])</f>
        <v>12227413</v>
      </c>
    </row>
  </sheetData>
  <mergeCells count="1">
    <mergeCell ref="B1:C1"/>
  </mergeCells>
  <dataValidations xWindow="739" yWindow="494" count="8">
    <dataValidation allowBlank="1" showInputMessage="1" showErrorMessage="1" prompt="El título de la hoja de cálculo se encuentra en esta celda." sqref="B1:C1" xr:uid="{00000000-0002-0000-0100-000000000000}"/>
    <dataValidation allowBlank="1" showInputMessage="1" showErrorMessage="1" prompt="Escriba los gastos en la tabla siguiente." sqref="B2" xr:uid="{00000000-0002-0000-0100-000001000000}"/>
    <dataValidation allowBlank="1" showInputMessage="1" showErrorMessage="1" prompt="Escriba la subcategoría en esta columna, debajo de este encabezado." sqref="C3:C6" xr:uid="{00000000-0002-0000-0100-000002000000}"/>
    <dataValidation allowBlank="1" showInputMessage="1" showErrorMessage="1" prompt="Escriba los gastos de este mes en esta columna, debajo de este encabezado." sqref="D3:O3" xr:uid="{00000000-0002-0000-0100-000003000000}"/>
    <dataValidation allowBlank="1" showInputMessage="1" showErrorMessage="1" prompt="Los gastos anuales se calculan automáticamente en esta columna, debajo de este encabezado." sqref="P3" xr:uid="{00000000-0002-0000-0100-000004000000}"/>
    <dataValidation allowBlank="1" showInputMessage="1" showErrorMessage="1" prompt="Escriba los gastos mensuales en la tabla Gastos de esta hoja de cálculo. Los gastos anuales se calculan automáticamente." sqref="A1" xr:uid="{00000000-0002-0000-0100-000005000000}"/>
    <dataValidation allowBlank="1" showInputMessage="1" showErrorMessage="1" prompt="Seleccione la categoría del alumno en la columna con este encabezado. Presione ALT + FLECHA ABAJO para abrir la lista desplegable y, después, ENTRAR para realizar la selección." sqref="B3" xr:uid="{00000000-0002-0000-0100-000006000000}"/>
    <dataValidation type="list" errorStyle="warning" allowBlank="1" showInputMessage="1" showErrorMessage="1" error="Seleccione una categoría de la lista. Seleccione CANCELAR, presione ALT+FLECHA ABAJO para ver las opciones y, a continuación, use la tecla de FLECHA ABAJO y ENTRAR para realizar una selección." sqref="B4:B27" xr:uid="{00000000-0002-0000-0100-000007000000}">
      <formula1>"Hogar,Vida diaria,Transporte,Salud,Vacaciones,Ocio,Cuotas/suscripciones,Personal,Obligaciones financieras,Seguros,Pagos varios,Ahorro/inversión"</formula1>
    </dataValidation>
  </dataValidations>
  <printOptions horizontalCentered="1"/>
  <pageMargins left="0.5" right="0.5" top="0.75" bottom="0.75" header="0.5" footer="0.5"/>
  <pageSetup paperSize="9" scale="65" fitToHeight="0" orientation="landscape" horizontalDpi="200" verticalDpi="200" r:id="rId1"/>
  <headerFooter differentFirst="1" alignWithMargins="0">
    <oddFooter>Page &amp;P of &amp;N</oddFooter>
  </headerFooter>
  <ignoredErrors>
    <ignoredError sqref="P12:P15 P10 P7:P8" emptyCellReference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416CA-C5E5-46F9-899E-8F6532408251}">
  <sheetPr codeName="Hoja3"/>
  <dimension ref="A1:P1"/>
  <sheetViews>
    <sheetView workbookViewId="0"/>
  </sheetViews>
  <sheetFormatPr baseColWidth="10" defaultRowHeight="15" x14ac:dyDescent="0.25"/>
  <cols>
    <col min="1" max="1" width="16" style="56" customWidth="1"/>
    <col min="2" max="2" width="11.42578125" style="57"/>
    <col min="3" max="3" width="18" style="56" customWidth="1"/>
    <col min="4" max="4" width="13.42578125" style="56" customWidth="1"/>
    <col min="5" max="5" width="11.5703125" style="56" customWidth="1"/>
    <col min="6" max="6" width="16.42578125" style="56" customWidth="1"/>
    <col min="7" max="7" width="14.5703125" style="56" customWidth="1"/>
    <col min="8" max="8" width="11.42578125" style="58"/>
    <col min="9" max="9" width="13.42578125" style="56" customWidth="1"/>
    <col min="10" max="10" width="13.28515625" style="56" customWidth="1"/>
    <col min="11" max="11" width="11.42578125" style="56"/>
    <col min="12" max="12" width="14.85546875" style="56" customWidth="1"/>
    <col min="13" max="14" width="11.42578125" style="56"/>
    <col min="15" max="15" width="17.28515625" style="56" customWidth="1"/>
    <col min="16" max="16" width="15.5703125" style="59" customWidth="1"/>
    <col min="17" max="16384" width="11.42578125" style="56"/>
  </cols>
  <sheetData>
    <row r="1" spans="1:16" x14ac:dyDescent="0.25">
      <c r="A1" s="56" t="s">
        <v>40</v>
      </c>
      <c r="B1" s="57" t="s">
        <v>41</v>
      </c>
      <c r="C1" s="56" t="s">
        <v>42</v>
      </c>
      <c r="D1" s="56" t="s">
        <v>43</v>
      </c>
      <c r="E1" s="56" t="s">
        <v>44</v>
      </c>
      <c r="F1" s="56" t="s">
        <v>45</v>
      </c>
      <c r="G1" s="56" t="s">
        <v>46</v>
      </c>
      <c r="H1" s="58" t="s">
        <v>47</v>
      </c>
      <c r="I1" s="56" t="s">
        <v>48</v>
      </c>
      <c r="J1" s="56" t="s">
        <v>49</v>
      </c>
      <c r="K1" s="56" t="s">
        <v>50</v>
      </c>
      <c r="L1" s="56" t="s">
        <v>51</v>
      </c>
      <c r="M1" s="56" t="s">
        <v>52</v>
      </c>
      <c r="N1" s="56" t="s">
        <v>53</v>
      </c>
      <c r="O1" s="56" t="s">
        <v>54</v>
      </c>
      <c r="P1" s="59" t="s">
        <v>55</v>
      </c>
    </row>
  </sheetData>
  <sheetProtection algorithmName="SHA-512" hashValue="tZ0fDvcZje2fg6EholYT4/CI0nYhP4lJSwgpWLej8QkeE9diyWWXjZxfX7/jo2CE0FKt8O3Ovquh9iZxYPvjHg==" saltValue="bKjyJwBhdgF1rE00ntDuSg==" spinCount="100000" sheet="1" objects="1" scenarios="1" insertRows="0" deleteRows="0"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4B49-C1C9-423E-AE77-72572E6F1815}">
  <sheetPr codeName="Hoja4"/>
  <dimension ref="A1:E9"/>
  <sheetViews>
    <sheetView workbookViewId="0"/>
  </sheetViews>
  <sheetFormatPr baseColWidth="10" defaultRowHeight="15" x14ac:dyDescent="0.25"/>
  <cols>
    <col min="1" max="16384" width="11.42578125" style="14"/>
  </cols>
  <sheetData>
    <row r="1" spans="1:5" ht="30" x14ac:dyDescent="0.25">
      <c r="A1" s="14" t="s">
        <v>56</v>
      </c>
      <c r="B1" s="14" t="s">
        <v>57</v>
      </c>
      <c r="C1" s="14" t="s">
        <v>58</v>
      </c>
      <c r="D1" s="14" t="s">
        <v>59</v>
      </c>
      <c r="E1" s="14" t="s">
        <v>60</v>
      </c>
    </row>
    <row r="2" spans="1:5" ht="30" x14ac:dyDescent="0.25">
      <c r="A2" s="14" t="s">
        <v>205</v>
      </c>
      <c r="B2" s="14" t="s">
        <v>209</v>
      </c>
      <c r="C2" s="14" t="s">
        <v>94</v>
      </c>
      <c r="D2" s="14" t="s">
        <v>99</v>
      </c>
      <c r="E2" s="14" t="s">
        <v>210</v>
      </c>
    </row>
    <row r="3" spans="1:5" ht="30" x14ac:dyDescent="0.25">
      <c r="A3" s="14" t="s">
        <v>206</v>
      </c>
      <c r="C3" s="14" t="s">
        <v>95</v>
      </c>
      <c r="D3" s="14" t="s">
        <v>100</v>
      </c>
      <c r="E3" s="14" t="s">
        <v>211</v>
      </c>
    </row>
    <row r="4" spans="1:5" ht="30" x14ac:dyDescent="0.25">
      <c r="A4" s="14" t="s">
        <v>64</v>
      </c>
      <c r="C4" s="14" t="s">
        <v>96</v>
      </c>
      <c r="D4" s="14" t="s">
        <v>101</v>
      </c>
      <c r="E4" s="14" t="s">
        <v>66</v>
      </c>
    </row>
    <row r="5" spans="1:5" ht="30" x14ac:dyDescent="0.25">
      <c r="A5" s="14" t="s">
        <v>17</v>
      </c>
      <c r="C5" s="14" t="s">
        <v>97</v>
      </c>
      <c r="D5" s="14" t="s">
        <v>102</v>
      </c>
      <c r="E5" s="14" t="s">
        <v>212</v>
      </c>
    </row>
    <row r="6" spans="1:5" ht="30" x14ac:dyDescent="0.25">
      <c r="A6" s="14" t="s">
        <v>207</v>
      </c>
      <c r="C6" s="14" t="s">
        <v>98</v>
      </c>
      <c r="D6" s="14" t="s">
        <v>103</v>
      </c>
    </row>
    <row r="7" spans="1:5" ht="30" x14ac:dyDescent="0.25">
      <c r="A7" s="14" t="s">
        <v>208</v>
      </c>
      <c r="C7" s="14" t="s">
        <v>156</v>
      </c>
    </row>
    <row r="8" spans="1:5" x14ac:dyDescent="0.25">
      <c r="A8" s="14" t="s">
        <v>65</v>
      </c>
    </row>
    <row r="9" spans="1:5" x14ac:dyDescent="0.25">
      <c r="A9" s="14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A106A-0C87-415B-9A24-F433D119C4FE}">
  <sheetPr codeName="Hoja5"/>
  <dimension ref="A1:B4"/>
  <sheetViews>
    <sheetView workbookViewId="0"/>
  </sheetViews>
  <sheetFormatPr baseColWidth="10" defaultRowHeight="15" x14ac:dyDescent="0.25"/>
  <sheetData>
    <row r="1" spans="1:2" x14ac:dyDescent="0.25">
      <c r="A1" t="s">
        <v>61</v>
      </c>
      <c r="B1" t="s">
        <v>62</v>
      </c>
    </row>
    <row r="2" spans="1:2" ht="45" x14ac:dyDescent="0.25">
      <c r="A2" t="s">
        <v>106</v>
      </c>
      <c r="B2">
        <v>0</v>
      </c>
    </row>
    <row r="3" spans="1:2" ht="45" x14ac:dyDescent="0.25">
      <c r="A3" t="s">
        <v>189</v>
      </c>
      <c r="B3">
        <v>1</v>
      </c>
    </row>
    <row r="4" spans="1:2" ht="45" x14ac:dyDescent="0.25">
      <c r="A4" t="s">
        <v>190</v>
      </c>
      <c r="B4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548FB-97B2-4ABF-A2D5-98FFFA4F938C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0C4F-B53A-4F85-92F4-CE2CE8872A66}">
  <sheetPr codeName="Hoja8"/>
  <dimension ref="A1:I60"/>
  <sheetViews>
    <sheetView workbookViewId="0">
      <selection activeCell="A11" sqref="A11"/>
    </sheetView>
  </sheetViews>
  <sheetFormatPr baseColWidth="10" defaultRowHeight="15" x14ac:dyDescent="0.25"/>
  <cols>
    <col min="1" max="1" width="20.85546875" bestFit="1" customWidth="1"/>
    <col min="2" max="2" width="9.42578125" bestFit="1" customWidth="1"/>
    <col min="3" max="3" width="1" bestFit="1" customWidth="1"/>
    <col min="4" max="4" width="19.28515625" bestFit="1" customWidth="1"/>
    <col min="5" max="5" width="6.140625" bestFit="1" customWidth="1"/>
    <col min="6" max="6" width="1" bestFit="1" customWidth="1"/>
    <col min="7" max="7" width="24.140625" bestFit="1" customWidth="1"/>
    <col min="8" max="8" width="8.7109375" bestFit="1" customWidth="1"/>
    <col min="9" max="9" width="9.5703125" bestFit="1" customWidth="1"/>
  </cols>
  <sheetData>
    <row r="1" spans="1:9" ht="60" customHeight="1" x14ac:dyDescent="0.25">
      <c r="A1" s="49" t="s">
        <v>107</v>
      </c>
      <c r="B1" s="40"/>
      <c r="C1" s="40"/>
      <c r="D1" s="40"/>
      <c r="E1" s="40"/>
      <c r="F1" s="40"/>
      <c r="G1" s="40"/>
      <c r="H1" s="40"/>
      <c r="I1" s="40"/>
    </row>
    <row r="3" spans="1:9" x14ac:dyDescent="0.25">
      <c r="A3" t="s">
        <v>108</v>
      </c>
      <c r="B3" s="13">
        <v>0</v>
      </c>
      <c r="D3" t="s">
        <v>111</v>
      </c>
      <c r="E3" s="13">
        <v>0</v>
      </c>
      <c r="G3" t="s">
        <v>114</v>
      </c>
      <c r="H3" t="s">
        <v>115</v>
      </c>
    </row>
    <row r="4" spans="1:9" ht="30" x14ac:dyDescent="0.25">
      <c r="A4" t="s">
        <v>109</v>
      </c>
      <c r="B4" s="13">
        <v>0</v>
      </c>
      <c r="D4" t="s">
        <v>112</v>
      </c>
      <c r="E4" s="13">
        <v>0</v>
      </c>
      <c r="G4" t="s">
        <v>116</v>
      </c>
      <c r="H4" t="s">
        <v>115</v>
      </c>
    </row>
    <row r="5" spans="1:9" ht="30" x14ac:dyDescent="0.25">
      <c r="A5" t="s">
        <v>110</v>
      </c>
      <c r="B5" s="13">
        <v>0</v>
      </c>
      <c r="D5" t="s">
        <v>113</v>
      </c>
      <c r="E5" s="22">
        <v>0</v>
      </c>
      <c r="G5" t="s">
        <v>117</v>
      </c>
      <c r="H5" s="13">
        <v>0</v>
      </c>
    </row>
    <row r="6" spans="1:9" ht="30" x14ac:dyDescent="0.25">
      <c r="D6" t="s">
        <v>178</v>
      </c>
      <c r="E6" s="36">
        <v>64</v>
      </c>
      <c r="G6" t="s">
        <v>118</v>
      </c>
      <c r="H6" s="13">
        <v>0</v>
      </c>
    </row>
    <row r="7" spans="1:9" ht="30" x14ac:dyDescent="0.25">
      <c r="D7" t="s">
        <v>179</v>
      </c>
      <c r="E7" s="13">
        <v>0</v>
      </c>
      <c r="G7" t="s">
        <v>119</v>
      </c>
      <c r="H7" s="22">
        <v>0</v>
      </c>
    </row>
    <row r="8" spans="1:9" x14ac:dyDescent="0.25">
      <c r="D8" t="s">
        <v>180</v>
      </c>
      <c r="E8" s="22">
        <v>0</v>
      </c>
      <c r="G8" t="s">
        <v>120</v>
      </c>
      <c r="H8" s="23" t="s">
        <v>121</v>
      </c>
    </row>
    <row r="9" spans="1:9" ht="60" x14ac:dyDescent="0.25">
      <c r="D9" t="s">
        <v>158</v>
      </c>
      <c r="E9" s="26" t="s">
        <v>159</v>
      </c>
      <c r="G9" t="s">
        <v>181</v>
      </c>
      <c r="H9" s="23" t="s">
        <v>182</v>
      </c>
    </row>
    <row r="10" spans="1:9" x14ac:dyDescent="0.25">
      <c r="D10" s="50" t="s">
        <v>183</v>
      </c>
      <c r="E10" s="51"/>
      <c r="F10" s="51"/>
      <c r="G10" s="40"/>
    </row>
    <row r="11" spans="1:9" ht="105" x14ac:dyDescent="0.25">
      <c r="D11" s="24" t="s">
        <v>66</v>
      </c>
      <c r="E11" s="33">
        <v>50</v>
      </c>
      <c r="F11" s="30" t="s">
        <v>184</v>
      </c>
    </row>
    <row r="12" spans="1:9" ht="120" x14ac:dyDescent="0.25">
      <c r="D12" s="24" t="s">
        <v>122</v>
      </c>
      <c r="E12" s="34">
        <v>65</v>
      </c>
      <c r="F12" s="31" t="s">
        <v>185</v>
      </c>
    </row>
    <row r="13" spans="1:9" ht="120" x14ac:dyDescent="0.25">
      <c r="D13" s="24" t="s">
        <v>186</v>
      </c>
      <c r="E13" s="34">
        <v>60</v>
      </c>
      <c r="F13" s="31" t="s">
        <v>185</v>
      </c>
    </row>
    <row r="14" spans="1:9" ht="135" x14ac:dyDescent="0.25">
      <c r="D14" s="24" t="s">
        <v>187</v>
      </c>
      <c r="E14" s="35">
        <v>100</v>
      </c>
      <c r="F14" s="32" t="s">
        <v>188</v>
      </c>
    </row>
    <row r="16" spans="1:9" ht="90" x14ac:dyDescent="0.25">
      <c r="A16" s="21" t="s">
        <v>44</v>
      </c>
      <c r="B16" s="21" t="s">
        <v>122</v>
      </c>
      <c r="C16" s="21" t="s">
        <v>123</v>
      </c>
      <c r="D16" s="21" t="s">
        <v>124</v>
      </c>
      <c r="E16" s="21" t="s">
        <v>125</v>
      </c>
      <c r="F16" s="21" t="s">
        <v>126</v>
      </c>
      <c r="G16" s="21" t="s">
        <v>127</v>
      </c>
      <c r="H16" s="21" t="s">
        <v>128</v>
      </c>
      <c r="I16" s="21" t="s">
        <v>129</v>
      </c>
    </row>
    <row r="17" spans="1:9" ht="45" x14ac:dyDescent="0.25">
      <c r="A17" t="s">
        <v>130</v>
      </c>
    </row>
    <row r="28" spans="1:9" x14ac:dyDescent="0.25">
      <c r="A28" s="52" t="s">
        <v>191</v>
      </c>
      <c r="B28" s="40"/>
      <c r="C28" s="40"/>
      <c r="D28" s="40"/>
      <c r="E28" s="40"/>
      <c r="F28" s="40"/>
      <c r="G28" s="40"/>
      <c r="H28" s="40"/>
      <c r="I28" s="40"/>
    </row>
    <row r="30" spans="1:9" ht="30" x14ac:dyDescent="0.25">
      <c r="A30" s="60" t="s">
        <v>192</v>
      </c>
      <c r="B30" s="61">
        <v>0</v>
      </c>
    </row>
    <row r="31" spans="1:9" ht="30" x14ac:dyDescent="0.25">
      <c r="A31" s="60" t="s">
        <v>193</v>
      </c>
      <c r="B31" s="61">
        <v>0</v>
      </c>
    </row>
    <row r="32" spans="1:9" ht="30" x14ac:dyDescent="0.25">
      <c r="A32" s="60" t="s">
        <v>194</v>
      </c>
      <c r="B32" s="62">
        <v>0</v>
      </c>
    </row>
    <row r="33" spans="1:2" ht="30" x14ac:dyDescent="0.25">
      <c r="A33" s="60" t="s">
        <v>195</v>
      </c>
      <c r="B33" s="62">
        <v>0</v>
      </c>
    </row>
    <row r="34" spans="1:2" ht="30" x14ac:dyDescent="0.25">
      <c r="A34" s="60" t="s">
        <v>196</v>
      </c>
      <c r="B34" s="62">
        <v>0</v>
      </c>
    </row>
    <row r="35" spans="1:2" ht="30" x14ac:dyDescent="0.25">
      <c r="A35" s="60" t="s">
        <v>197</v>
      </c>
      <c r="B35" s="60" t="s">
        <v>198</v>
      </c>
    </row>
    <row r="58" spans="1:5" x14ac:dyDescent="0.25">
      <c r="A58" s="53" t="s">
        <v>199</v>
      </c>
      <c r="B58" s="44"/>
      <c r="C58" s="44"/>
      <c r="D58" s="44"/>
      <c r="E58" s="44"/>
    </row>
    <row r="59" spans="1:5" ht="105" x14ac:dyDescent="0.25">
      <c r="A59" s="37" t="s">
        <v>41</v>
      </c>
      <c r="B59" s="37" t="s">
        <v>145</v>
      </c>
      <c r="C59" s="37" t="s">
        <v>147</v>
      </c>
      <c r="D59" s="37" t="s">
        <v>146</v>
      </c>
      <c r="E59" s="37" t="s">
        <v>200</v>
      </c>
    </row>
    <row r="60" spans="1:5" ht="30" x14ac:dyDescent="0.25">
      <c r="A60" s="38" t="s">
        <v>201</v>
      </c>
      <c r="B60" s="24"/>
      <c r="C60" s="24"/>
      <c r="D60" s="24"/>
      <c r="E60" s="24"/>
    </row>
  </sheetData>
  <mergeCells count="4">
    <mergeCell ref="A1:I1"/>
    <mergeCell ref="D10:G10"/>
    <mergeCell ref="A28:I28"/>
    <mergeCell ref="A58:E5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E9E65-3292-4662-BCF1-526DC910A053}">
  <sheetPr codeName="Hoja9"/>
  <dimension ref="A1:H1"/>
  <sheetViews>
    <sheetView workbookViewId="0"/>
  </sheetViews>
  <sheetFormatPr baseColWidth="10" defaultRowHeight="15" x14ac:dyDescent="0.25"/>
  <cols>
    <col min="1" max="1" width="16.28515625" bestFit="1" customWidth="1"/>
    <col min="2" max="2" width="11.7109375" bestFit="1" customWidth="1"/>
    <col min="3" max="3" width="14.7109375" bestFit="1" customWidth="1"/>
    <col min="4" max="4" width="7.140625" style="20" bestFit="1" customWidth="1"/>
    <col min="5" max="5" width="7.42578125" style="20" bestFit="1" customWidth="1"/>
    <col min="6" max="6" width="22.7109375" style="13" bestFit="1" customWidth="1"/>
    <col min="7" max="7" width="17.42578125" bestFit="1" customWidth="1"/>
    <col min="8" max="8" width="15.7109375" style="19" bestFit="1" customWidth="1"/>
  </cols>
  <sheetData>
    <row r="1" spans="1:8" x14ac:dyDescent="0.25">
      <c r="A1" t="s">
        <v>104</v>
      </c>
      <c r="B1" t="s">
        <v>44</v>
      </c>
      <c r="C1" t="s">
        <v>46</v>
      </c>
      <c r="D1" s="20" t="s">
        <v>52</v>
      </c>
      <c r="E1" s="20" t="s">
        <v>53</v>
      </c>
      <c r="F1" s="13" t="s">
        <v>105</v>
      </c>
      <c r="G1" t="s">
        <v>54</v>
      </c>
      <c r="H1" s="19" t="s">
        <v>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4FDF-0D61-407C-A7F8-8B74BA266818}">
  <sheetPr codeName="Hoja7"/>
  <dimension ref="A1:H9"/>
  <sheetViews>
    <sheetView tabSelected="1" topLeftCell="A5" workbookViewId="0">
      <selection sqref="A1:H1"/>
    </sheetView>
  </sheetViews>
  <sheetFormatPr baseColWidth="10" defaultRowHeight="15" x14ac:dyDescent="0.25"/>
  <cols>
    <col min="1" max="8" width="18.7109375" customWidth="1"/>
  </cols>
  <sheetData>
    <row r="1" spans="1:8" ht="27.95" customHeight="1" x14ac:dyDescent="0.25">
      <c r="A1" s="39" t="s">
        <v>67</v>
      </c>
      <c r="B1" s="40"/>
      <c r="C1" s="40"/>
      <c r="D1" s="40"/>
      <c r="E1" s="40"/>
      <c r="F1" s="40"/>
      <c r="G1" s="40"/>
      <c r="H1" s="40"/>
    </row>
    <row r="3" spans="1:8" ht="21.95" customHeight="1" x14ac:dyDescent="0.25">
      <c r="A3" s="41" t="s">
        <v>68</v>
      </c>
      <c r="B3" s="42"/>
      <c r="C3" s="42"/>
      <c r="D3" s="42"/>
      <c r="E3" s="42"/>
      <c r="F3" s="42"/>
      <c r="G3" s="42"/>
      <c r="H3" s="42"/>
    </row>
    <row r="5" spans="1:8" ht="21.95" customHeight="1" x14ac:dyDescent="0.25">
      <c r="A5" s="43" t="s">
        <v>75</v>
      </c>
      <c r="B5" s="44"/>
      <c r="C5" s="44"/>
      <c r="D5" s="44"/>
      <c r="E5" s="44"/>
      <c r="F5" s="44"/>
      <c r="G5" s="44"/>
      <c r="H5" s="44"/>
    </row>
    <row r="6" spans="1:8" x14ac:dyDescent="0.25">
      <c r="A6" s="45" t="s">
        <v>69</v>
      </c>
      <c r="B6" s="45"/>
      <c r="C6" s="16">
        <v>0</v>
      </c>
      <c r="D6" s="15"/>
      <c r="E6" s="45" t="s">
        <v>72</v>
      </c>
      <c r="F6" s="45"/>
      <c r="G6" s="13">
        <v>0</v>
      </c>
    </row>
    <row r="7" spans="1:8" x14ac:dyDescent="0.25">
      <c r="A7" s="45" t="s">
        <v>70</v>
      </c>
      <c r="B7" s="45"/>
      <c r="C7" s="16">
        <v>0</v>
      </c>
      <c r="D7" s="15"/>
      <c r="E7" s="45" t="s">
        <v>73</v>
      </c>
      <c r="F7" s="45"/>
      <c r="G7" s="13">
        <v>0</v>
      </c>
    </row>
    <row r="8" spans="1:8" x14ac:dyDescent="0.25">
      <c r="A8" s="47" t="s">
        <v>71</v>
      </c>
      <c r="B8" s="47"/>
      <c r="C8" s="17">
        <v>0</v>
      </c>
      <c r="D8" s="15"/>
      <c r="E8" s="47" t="s">
        <v>74</v>
      </c>
      <c r="F8" s="47"/>
      <c r="G8" s="18">
        <v>0</v>
      </c>
    </row>
    <row r="9" spans="1:8" x14ac:dyDescent="0.25">
      <c r="A9" s="45" t="s">
        <v>157</v>
      </c>
      <c r="B9" s="45"/>
      <c r="C9" s="16">
        <v>0</v>
      </c>
      <c r="D9" s="15"/>
      <c r="E9" s="46" t="s">
        <v>158</v>
      </c>
      <c r="F9" s="46"/>
      <c r="G9" s="26" t="s">
        <v>159</v>
      </c>
    </row>
  </sheetData>
  <mergeCells count="11">
    <mergeCell ref="A9:B9"/>
    <mergeCell ref="E9:F9"/>
    <mergeCell ref="A8:B8"/>
    <mergeCell ref="E6:F6"/>
    <mergeCell ref="E7:F7"/>
    <mergeCell ref="E8:F8"/>
    <mergeCell ref="A1:H1"/>
    <mergeCell ref="A3:H3"/>
    <mergeCell ref="A5:H5"/>
    <mergeCell ref="A6:B6"/>
    <mergeCell ref="A7:B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701A-07F6-4BED-9F66-4A28EFF234F1}">
  <sheetPr codeName="Hoja10"/>
  <dimension ref="A1:L1"/>
  <sheetViews>
    <sheetView workbookViewId="0"/>
  </sheetViews>
  <sheetFormatPr baseColWidth="10" defaultRowHeight="15" x14ac:dyDescent="0.25"/>
  <cols>
    <col min="1" max="1" width="13.42578125" bestFit="1" customWidth="1"/>
    <col min="2" max="2" width="8.42578125" style="55" bestFit="1" customWidth="1"/>
    <col min="3" max="3" width="13" bestFit="1" customWidth="1"/>
    <col min="4" max="4" width="18.140625" bestFit="1" customWidth="1"/>
    <col min="5" max="5" width="9.28515625" style="13" bestFit="1" customWidth="1"/>
    <col min="6" max="6" width="18.140625" style="13" bestFit="1" customWidth="1"/>
    <col min="7" max="7" width="13.7109375" bestFit="1" customWidth="1"/>
    <col min="8" max="8" width="7.140625" bestFit="1" customWidth="1"/>
    <col min="9" max="9" width="7.42578125" bestFit="1" customWidth="1"/>
    <col min="10" max="10" width="17.42578125" bestFit="1" customWidth="1"/>
    <col min="11" max="11" width="15.7109375" style="19" bestFit="1" customWidth="1"/>
    <col min="12" max="12" width="27.28515625" bestFit="1" customWidth="1"/>
  </cols>
  <sheetData>
    <row r="1" spans="1:12" x14ac:dyDescent="0.25">
      <c r="A1" t="s">
        <v>151</v>
      </c>
      <c r="B1" s="55" t="s">
        <v>41</v>
      </c>
      <c r="C1" t="s">
        <v>152</v>
      </c>
      <c r="D1" t="s">
        <v>42</v>
      </c>
      <c r="E1" s="13" t="s">
        <v>47</v>
      </c>
      <c r="F1" s="13" t="s">
        <v>153</v>
      </c>
      <c r="G1" t="s">
        <v>154</v>
      </c>
      <c r="H1" t="s">
        <v>52</v>
      </c>
      <c r="I1" t="s">
        <v>53</v>
      </c>
      <c r="J1" t="s">
        <v>54</v>
      </c>
      <c r="K1" s="19" t="s">
        <v>55</v>
      </c>
      <c r="L1" t="s">
        <v>155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CE5B3-C6F6-4E8D-A6F0-3A69FC36F67A}">
  <sheetPr codeName="Hoja11"/>
  <dimension ref="A1:F21"/>
  <sheetViews>
    <sheetView workbookViewId="0"/>
  </sheetViews>
  <sheetFormatPr baseColWidth="10" defaultRowHeight="15" x14ac:dyDescent="0.25"/>
  <cols>
    <col min="1" max="2" width="10.85546875" bestFit="1" customWidth="1"/>
    <col min="3" max="3" width="11.28515625" bestFit="1" customWidth="1"/>
    <col min="4" max="4" width="10.7109375" bestFit="1" customWidth="1"/>
    <col min="6" max="6" width="11.140625" bestFit="1" customWidth="1"/>
  </cols>
  <sheetData>
    <row r="1" spans="1:6" ht="30" customHeight="1" x14ac:dyDescent="0.25">
      <c r="A1" s="54" t="s">
        <v>160</v>
      </c>
      <c r="B1" s="40"/>
      <c r="C1" s="40"/>
      <c r="D1" s="40"/>
      <c r="E1" s="40"/>
      <c r="F1" s="40"/>
    </row>
    <row r="3" spans="1:6" ht="45" x14ac:dyDescent="0.25">
      <c r="A3" s="25" t="s">
        <v>161</v>
      </c>
    </row>
    <row r="4" spans="1:6" x14ac:dyDescent="0.25">
      <c r="A4" s="23" t="s">
        <v>26</v>
      </c>
      <c r="B4" s="27">
        <v>0</v>
      </c>
    </row>
    <row r="5" spans="1:6" ht="30" x14ac:dyDescent="0.25">
      <c r="A5" s="23" t="s">
        <v>162</v>
      </c>
      <c r="B5" s="27">
        <v>0</v>
      </c>
    </row>
    <row r="6" spans="1:6" x14ac:dyDescent="0.25">
      <c r="A6" s="23" t="s">
        <v>163</v>
      </c>
      <c r="B6" s="27">
        <v>0</v>
      </c>
    </row>
    <row r="7" spans="1:6" x14ac:dyDescent="0.25">
      <c r="A7" s="23" t="s">
        <v>164</v>
      </c>
      <c r="B7" s="27">
        <v>0</v>
      </c>
    </row>
    <row r="9" spans="1:6" ht="45" x14ac:dyDescent="0.25">
      <c r="A9" s="25" t="s">
        <v>165</v>
      </c>
    </row>
    <row r="10" spans="1:6" ht="45" x14ac:dyDescent="0.25">
      <c r="A10" s="21" t="s">
        <v>152</v>
      </c>
      <c r="B10" s="21" t="s">
        <v>166</v>
      </c>
      <c r="C10" s="21" t="s">
        <v>167</v>
      </c>
      <c r="D10" s="21" t="s">
        <v>168</v>
      </c>
      <c r="E10" s="21" t="s">
        <v>169</v>
      </c>
      <c r="F10" s="21" t="s">
        <v>170</v>
      </c>
    </row>
    <row r="11" spans="1:6" x14ac:dyDescent="0.25">
      <c r="A11" t="s">
        <v>26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ht="30" x14ac:dyDescent="0.25">
      <c r="A12" t="s">
        <v>162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t="s">
        <v>163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t="s">
        <v>164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ht="45" x14ac:dyDescent="0.25">
      <c r="A15" s="25" t="s">
        <v>171</v>
      </c>
      <c r="B15" s="28">
        <v>0</v>
      </c>
    </row>
    <row r="19" spans="1:6" ht="60" x14ac:dyDescent="0.25">
      <c r="A19" s="25" t="s">
        <v>172</v>
      </c>
    </row>
    <row r="20" spans="1:6" ht="30" x14ac:dyDescent="0.25">
      <c r="A20" s="21" t="s">
        <v>52</v>
      </c>
      <c r="B20" s="21" t="s">
        <v>173</v>
      </c>
      <c r="C20" s="21" t="s">
        <v>174</v>
      </c>
      <c r="D20" s="21" t="s">
        <v>175</v>
      </c>
      <c r="E20" s="21" t="s">
        <v>176</v>
      </c>
      <c r="F20" s="21" t="s">
        <v>177</v>
      </c>
    </row>
    <row r="21" spans="1:6" x14ac:dyDescent="0.25">
      <c r="A21" s="29">
        <v>46204</v>
      </c>
      <c r="B21" s="13">
        <v>0</v>
      </c>
      <c r="C21" s="22">
        <v>0</v>
      </c>
      <c r="D21" s="13">
        <v>0</v>
      </c>
      <c r="E21" s="13">
        <v>0</v>
      </c>
      <c r="F21" s="13">
        <v>0</v>
      </c>
    </row>
  </sheetData>
  <mergeCells count="1"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7640C-D6B0-46D0-8F49-1B00D5205B79}">
  <sheetPr codeName="Hoja12"/>
  <dimension ref="A1:N2"/>
  <sheetViews>
    <sheetView workbookViewId="0"/>
  </sheetViews>
  <sheetFormatPr baseColWidth="10" defaultRowHeight="15" x14ac:dyDescent="0.25"/>
  <cols>
    <col min="1" max="1" width="10.5703125" bestFit="1" customWidth="1"/>
    <col min="2" max="2" width="7.42578125" style="20" bestFit="1" customWidth="1"/>
    <col min="3" max="3" width="7.140625" style="20" bestFit="1" customWidth="1"/>
    <col min="4" max="4" width="10.28515625" bestFit="1" customWidth="1"/>
    <col min="5" max="5" width="14.5703125" style="13" bestFit="1" customWidth="1"/>
    <col min="6" max="6" width="13.140625" style="13" bestFit="1" customWidth="1"/>
    <col min="7" max="7" width="14" style="13" bestFit="1" customWidth="1"/>
    <col min="8" max="8" width="14.140625" style="13" bestFit="1" customWidth="1"/>
    <col min="9" max="9" width="20.85546875" style="22" bestFit="1" customWidth="1"/>
    <col min="10" max="10" width="13.85546875" bestFit="1" customWidth="1"/>
    <col min="11" max="11" width="16.85546875" bestFit="1" customWidth="1"/>
    <col min="12" max="12" width="17.7109375" style="13" bestFit="1" customWidth="1"/>
    <col min="13" max="13" width="15.42578125" style="19" bestFit="1" customWidth="1"/>
    <col min="14" max="14" width="15.5703125" bestFit="1" customWidth="1"/>
  </cols>
  <sheetData>
    <row r="1" spans="1:14" x14ac:dyDescent="0.25">
      <c r="A1" t="s">
        <v>131</v>
      </c>
      <c r="B1" s="20" t="s">
        <v>53</v>
      </c>
      <c r="C1" s="20" t="s">
        <v>52</v>
      </c>
      <c r="D1" t="s">
        <v>132</v>
      </c>
      <c r="E1" s="13" t="s">
        <v>133</v>
      </c>
      <c r="F1" s="13" t="s">
        <v>134</v>
      </c>
      <c r="G1" s="13" t="s">
        <v>135</v>
      </c>
      <c r="H1" s="13" t="s">
        <v>136</v>
      </c>
      <c r="I1" s="22" t="s">
        <v>137</v>
      </c>
      <c r="J1" t="s">
        <v>138</v>
      </c>
      <c r="K1" t="s">
        <v>139</v>
      </c>
      <c r="L1" s="13" t="s">
        <v>140</v>
      </c>
      <c r="M1" s="19" t="s">
        <v>141</v>
      </c>
      <c r="N1" t="s">
        <v>142</v>
      </c>
    </row>
    <row r="2" spans="1:14" x14ac:dyDescent="0.25">
      <c r="A2" t="s">
        <v>202</v>
      </c>
      <c r="B2" s="20">
        <v>2026</v>
      </c>
      <c r="C2" s="20">
        <v>6</v>
      </c>
      <c r="D2" t="s">
        <v>203</v>
      </c>
      <c r="E2" s="13">
        <v>0</v>
      </c>
      <c r="F2" s="13">
        <v>0</v>
      </c>
      <c r="G2" s="13">
        <v>0</v>
      </c>
      <c r="H2" s="13">
        <v>0</v>
      </c>
      <c r="I2" s="22">
        <v>0</v>
      </c>
      <c r="J2" t="s">
        <v>121</v>
      </c>
      <c r="L2" s="13">
        <v>0</v>
      </c>
      <c r="M2" s="19">
        <v>46215.655046296299</v>
      </c>
      <c r="N2" t="s">
        <v>204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E624-B888-40B6-A8D6-1D83E4B102AA}">
  <sheetPr codeName="Hoja13"/>
  <dimension ref="A1:H1"/>
  <sheetViews>
    <sheetView workbookViewId="0"/>
  </sheetViews>
  <sheetFormatPr baseColWidth="10" defaultRowHeight="15" x14ac:dyDescent="0.25"/>
  <cols>
    <col min="1" max="1" width="13.28515625" customWidth="1"/>
    <col min="2" max="2" width="14.42578125" customWidth="1"/>
    <col min="6" max="6" width="12.28515625" customWidth="1"/>
  </cols>
  <sheetData>
    <row r="1" spans="1:8" x14ac:dyDescent="0.25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</vt:i4>
      </vt:variant>
    </vt:vector>
  </HeadingPairs>
  <TitlesOfParts>
    <vt:vector size="17" baseType="lpstr">
      <vt:lpstr>Resumen</vt:lpstr>
      <vt:lpstr>Gasto</vt:lpstr>
      <vt:lpstr>Movimientos</vt:lpstr>
      <vt:lpstr>Listas</vt:lpstr>
      <vt:lpstr>Configuracion</vt:lpstr>
      <vt:lpstr>ResultadosConsulta</vt:lpstr>
      <vt:lpstr>Dashboard</vt:lpstr>
      <vt:lpstr>Presupuesto</vt:lpstr>
      <vt:lpstr>Panel</vt:lpstr>
      <vt:lpstr>Inversiones</vt:lpstr>
      <vt:lpstr>Patrimonio</vt:lpstr>
      <vt:lpstr>Cierres</vt:lpstr>
      <vt:lpstr>Auditoria</vt:lpstr>
      <vt:lpstr>RegionTituloFila1..O4</vt:lpstr>
      <vt:lpstr>Titulo2</vt:lpstr>
      <vt:lpstr>Gasto!Títulos_a_imprimir</vt:lpstr>
      <vt:lpstr>Resumen!Títulos_a_imprimir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CS</dc:creator>
  <cp:lastModifiedBy>SERGIO LEONARDO INOSTROZA RIFFO</cp:lastModifiedBy>
  <cp:lastPrinted>2018-02-27T11:11:33Z</cp:lastPrinted>
  <dcterms:created xsi:type="dcterms:W3CDTF">2018-02-27T04:55:40Z</dcterms:created>
  <dcterms:modified xsi:type="dcterms:W3CDTF">2026-07-13T00:57:55Z</dcterms:modified>
</cp:coreProperties>
</file>